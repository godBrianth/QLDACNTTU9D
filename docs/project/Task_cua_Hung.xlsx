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sk của Hưng" sheetId="1" state="visible" r:id="rId3"/>
    <sheet name="Tổng hợp theo Sprint" sheetId="2" state="visible" r:id="rId4"/>
  </sheets>
  <definedNames>
    <definedName function="false" hidden="true" localSheetId="0" name="_xlnm._FilterDatabase" vbProcedure="false">'Task của Hưng'!$A$1:$N$109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<sst xmlns="http://schemas.openxmlformats.org/spreadsheetml/2006/main" count="785" uniqueCount="271">
  <si>
    <t xml:space="preserve">STT</t>
  </si>
  <si>
    <t xml:space="preserve">WBS</t>
  </si>
  <si>
    <t xml:space="preserve">UID</t>
  </si>
  <si>
    <t xml:space="preserve">Sprint</t>
  </si>
  <si>
    <t xml:space="preserve">PBI</t>
  </si>
  <si>
    <t xml:space="preserve">Nhóm công việc</t>
  </si>
  <si>
    <t xml:space="preserve">Tên task</t>
  </si>
  <si>
    <t xml:space="preserve">Bắt đầu</t>
  </si>
  <si>
    <t xml:space="preserve">Kết thúc</t>
  </si>
  <si>
    <t xml:space="preserve">Thời lượng (h)</t>
  </si>
  <si>
    <t xml:space="preserve">Công của Hưng (h)</t>
  </si>
  <si>
    <t xml:space="preserve">Ước lượng cũ (h)</t>
  </si>
  <si>
    <t xml:space="preserve">Cơ sở ước lượng</t>
  </si>
  <si>
    <t xml:space="preserve">Trạng thái</t>
  </si>
  <si>
    <t xml:space="preserve">2.2.4</t>
  </si>
  <si>
    <t xml:space="preserve">Sprint 1</t>
  </si>
  <si>
    <t xml:space="preserve">PBI-S01</t>
  </si>
  <si>
    <t xml:space="preserve">PBI S01 – Chức năng và công việc hỗ trợ</t>
  </si>
  <si>
    <t xml:space="preserve">Phân tích yêu cầu giao diện</t>
  </si>
  <si>
    <t xml:space="preserve">Một component/màn hình React hoặc cấu hình nhỏ; dùng thư viện và layout chung.</t>
  </si>
  <si>
    <t xml:space="preserve">Chờ nhóm rà soát</t>
  </si>
  <si>
    <t xml:space="preserve">2.2.9</t>
  </si>
  <si>
    <t xml:space="preserve">Khởi tạo project frontend</t>
  </si>
  <si>
    <t xml:space="preserve">2.2.13</t>
  </si>
  <si>
    <t xml:space="preserve">Thiết lập cấu trúc thư mục frontend</t>
  </si>
  <si>
    <t xml:space="preserve">2.2.17</t>
  </si>
  <si>
    <t xml:space="preserve">Thiết lập component base</t>
  </si>
  <si>
    <t xml:space="preserve">2.2.20</t>
  </si>
  <si>
    <t xml:space="preserve">Thiết lập layout chung</t>
  </si>
  <si>
    <t xml:space="preserve">2.2.25</t>
  </si>
  <si>
    <t xml:space="preserve">Thiết lập form validation</t>
  </si>
  <si>
    <t xml:space="preserve">2.2.30</t>
  </si>
  <si>
    <t xml:space="preserve">Thiết lập HTTP client</t>
  </si>
  <si>
    <t xml:space="preserve">2.2.37</t>
  </si>
  <si>
    <t xml:space="preserve">Tạo trang danh sách dịch vụ</t>
  </si>
  <si>
    <t xml:space="preserve">2.2.43</t>
  </si>
  <si>
    <t xml:space="preserve">Thiết lập routing</t>
  </si>
  <si>
    <t xml:space="preserve">2.2.49</t>
  </si>
  <si>
    <t xml:space="preserve">Thiết lập responsive grid</t>
  </si>
  <si>
    <t xml:space="preserve">2.2.54</t>
  </si>
  <si>
    <t xml:space="preserve">Tạo trang Landing</t>
  </si>
  <si>
    <t xml:space="preserve">2.2.57</t>
  </si>
  <si>
    <t xml:space="preserve">Tạo Header</t>
  </si>
  <si>
    <t xml:space="preserve">2.2.60</t>
  </si>
  <si>
    <t xml:space="preserve">Tạo Footer</t>
  </si>
  <si>
    <t xml:space="preserve">2.2.63</t>
  </si>
  <si>
    <t xml:space="preserve">Tạo trang giới thiệu cửa hàng</t>
  </si>
  <si>
    <t xml:space="preserve">2.2.67</t>
  </si>
  <si>
    <t xml:space="preserve">Tạo trang chi tiết dịch vụ</t>
  </si>
  <si>
    <t xml:space="preserve">2.2.69</t>
  </si>
  <si>
    <t xml:space="preserve">Thiết lập CI/CD React và build frontend tự động</t>
  </si>
  <si>
    <t xml:space="preserve">2.3.1</t>
  </si>
  <si>
    <t xml:space="preserve">Tích hợp, kiểm thử và Increment</t>
  </si>
  <si>
    <t xml:space="preserve">Tích hợp đầu-cuối Sprint 1: React ↔ FastAPI ↔ PostgreSQL</t>
  </si>
  <si>
    <t xml:space="preserve">Bổ sung để chức năng có thể tích hợp, kiểm thử và bàn giao trong Sprint.</t>
  </si>
  <si>
    <t xml:space="preserve">2.3.2</t>
  </si>
  <si>
    <t xml:space="preserve">Kiểm thử acceptance và hồi quy Sprint 1</t>
  </si>
  <si>
    <t xml:space="preserve">2.3.4</t>
  </si>
  <si>
    <t xml:space="preserve">Sửa lỗi frontend theo kết quả kiểm thử Sprint 1</t>
  </si>
  <si>
    <t xml:space="preserve">2.3.6</t>
  </si>
  <si>
    <t xml:space="preserve">Retest, xác minh Definition of Done Sprint 1</t>
  </si>
  <si>
    <t xml:space="preserve">2.4.1</t>
  </si>
  <si>
    <t xml:space="preserve">Họp nhóm hằng tuần</t>
  </si>
  <si>
    <t xml:space="preserve">Họp tuần 1 – báo cáo tiến độ, demo và thống nhất việc tiếp theo</t>
  </si>
  <si>
    <t xml:space="preserve">3.2.3</t>
  </si>
  <si>
    <t xml:space="preserve">Sprint 2</t>
  </si>
  <si>
    <t xml:space="preserve">PBI-S02</t>
  </si>
  <si>
    <t xml:space="preserve">PBI S02 – Chức năng và công việc hỗ trợ</t>
  </si>
  <si>
    <t xml:space="preserve">Thiết lập xử lý token</t>
  </si>
  <si>
    <t xml:space="preserve">3.2.14</t>
  </si>
  <si>
    <t xml:space="preserve">Tạo trang đăng ký</t>
  </si>
  <si>
    <t xml:space="preserve">3.2.17</t>
  </si>
  <si>
    <t xml:space="preserve">Tạo trang đăng nhập</t>
  </si>
  <si>
    <t xml:space="preserve">3.2.19</t>
  </si>
  <si>
    <t xml:space="preserve">Tạo trang hồ sơ cá nhân</t>
  </si>
  <si>
    <t xml:space="preserve">3.2.21</t>
  </si>
  <si>
    <t xml:space="preserve">Kết nối API đăng ký</t>
  </si>
  <si>
    <t xml:space="preserve">Nối API và xử lý lỗi/token của luồng xác thực.</t>
  </si>
  <si>
    <t xml:space="preserve">3.2.23</t>
  </si>
  <si>
    <t xml:space="preserve">Kết nối API đăng nhập</t>
  </si>
  <si>
    <t xml:space="preserve">3.3.1</t>
  </si>
  <si>
    <t xml:space="preserve">Tích hợp đầu-cuối Sprint 2: React ↔ FastAPI ↔ PostgreSQL</t>
  </si>
  <si>
    <t xml:space="preserve">3.3.2</t>
  </si>
  <si>
    <t xml:space="preserve">Kiểm thử acceptance và hồi quy Sprint 2</t>
  </si>
  <si>
    <t xml:space="preserve">3.3.4</t>
  </si>
  <si>
    <t xml:space="preserve">Sửa lỗi frontend theo kết quả kiểm thử Sprint 2</t>
  </si>
  <si>
    <t xml:space="preserve">3.3.6</t>
  </si>
  <si>
    <t xml:space="preserve">Retest, xác minh Definition of Done Sprint 2</t>
  </si>
  <si>
    <t xml:space="preserve">3.4.1</t>
  </si>
  <si>
    <t xml:space="preserve">Họp tuần 2 – báo cáo tiến độ, demo và thống nhất việc tiếp theo</t>
  </si>
  <si>
    <t xml:space="preserve">4.2.4</t>
  </si>
  <si>
    <t xml:space="preserve">Sprint 3</t>
  </si>
  <si>
    <t xml:space="preserve">PBI-S03</t>
  </si>
  <si>
    <t xml:space="preserve">PBI S03 – Chức năng và công việc hỗ trợ</t>
  </si>
  <si>
    <t xml:space="preserve">Tạo giao diện kiểm tra slot trống</t>
  </si>
  <si>
    <t xml:space="preserve">4.2.12</t>
  </si>
  <si>
    <t xml:space="preserve">Tạo trang chọn dịch vụ</t>
  </si>
  <si>
    <t xml:space="preserve">4.2.17</t>
  </si>
  <si>
    <t xml:space="preserve">Tạo giao diện chọn ngày</t>
  </si>
  <si>
    <t xml:space="preserve">4.2.21</t>
  </si>
  <si>
    <t xml:space="preserve">Tạo giao diện chọn giờ</t>
  </si>
  <si>
    <t xml:space="preserve">4.2.24</t>
  </si>
  <si>
    <t xml:space="preserve">Tạo giao diện chọn kỹ thuật viên</t>
  </si>
  <si>
    <t xml:space="preserve">4.2.25</t>
  </si>
  <si>
    <t xml:space="preserve">Tạo màn hình xác nhận lịch</t>
  </si>
  <si>
    <t xml:space="preserve">4.2.26</t>
  </si>
  <si>
    <t xml:space="preserve">Tạo form đặt lịch</t>
  </si>
  <si>
    <t xml:space="preserve">Một màn hình/luồng có xử lý nghiệp vụ; dùng component chung, tích hợp đầu-cuối có task riêng.</t>
  </si>
  <si>
    <t xml:space="preserve">4.2.28</t>
  </si>
  <si>
    <t xml:space="preserve">Tạo màn hình lịch đã đặt</t>
  </si>
  <si>
    <t xml:space="preserve">4.2.29</t>
  </si>
  <si>
    <t xml:space="preserve">Tạo chức năng đổi lịch</t>
  </si>
  <si>
    <t xml:space="preserve">4.2.31</t>
  </si>
  <si>
    <t xml:space="preserve">Tạo chức năng hủy lịch</t>
  </si>
  <si>
    <t xml:space="preserve">4.3.1</t>
  </si>
  <si>
    <t xml:space="preserve">Tích hợp đầu-cuối Sprint 3: React ↔ FastAPI ↔ PostgreSQL</t>
  </si>
  <si>
    <t xml:space="preserve">4.3.2</t>
  </si>
  <si>
    <t xml:space="preserve">Kiểm thử acceptance và hồi quy Sprint 3</t>
  </si>
  <si>
    <t xml:space="preserve">4.3.4</t>
  </si>
  <si>
    <t xml:space="preserve">Sửa lỗi frontend theo kết quả kiểm thử Sprint 3</t>
  </si>
  <si>
    <t xml:space="preserve">4.3.6</t>
  </si>
  <si>
    <t xml:space="preserve">Retest, xác minh Definition of Done Sprint 3</t>
  </si>
  <si>
    <t xml:space="preserve">4.4.1</t>
  </si>
  <si>
    <t xml:space="preserve">Họp tuần 3 – báo cáo tiến độ, demo và thống nhất việc tiếp theo</t>
  </si>
  <si>
    <t xml:space="preserve">5.2.4</t>
  </si>
  <si>
    <t xml:space="preserve">Sprint 4</t>
  </si>
  <si>
    <t xml:space="preserve">PBI-S04</t>
  </si>
  <si>
    <t xml:space="preserve">PBI S04 – Chức năng và công việc hỗ trợ</t>
  </si>
  <si>
    <t xml:space="preserve">Tạo màn hình danh sách lịch hẹn</t>
  </si>
  <si>
    <t xml:space="preserve">5.2.10</t>
  </si>
  <si>
    <t xml:space="preserve">Tạo màn hình hàng chờ</t>
  </si>
  <si>
    <t xml:space="preserve">5.2.14</t>
  </si>
  <si>
    <t xml:space="preserve">Tạo dashboard nhân viên</t>
  </si>
  <si>
    <t xml:space="preserve">5.2.18</t>
  </si>
  <si>
    <t xml:space="preserve">Tạo màn hình quản lý lịch</t>
  </si>
  <si>
    <t xml:space="preserve">5.2.22</t>
  </si>
  <si>
    <t xml:space="preserve">Tạo màn hình chi tiết lịch hẹn</t>
  </si>
  <si>
    <t xml:space="preserve">5.2.24</t>
  </si>
  <si>
    <t xml:space="preserve">Tạo màn hình lịch làm việc kỹ thuật viên</t>
  </si>
  <si>
    <t xml:space="preserve">5.2.28</t>
  </si>
  <si>
    <t xml:space="preserve">Tạo màn hình đặt chỗ</t>
  </si>
  <si>
    <t xml:space="preserve">5.2.29</t>
  </si>
  <si>
    <t xml:space="preserve">Thiết kế UI hoàn chỉnh hàng chờ và quản lý lịch từ wireframe</t>
  </si>
  <si>
    <t xml:space="preserve">5.2.30</t>
  </si>
  <si>
    <t xml:space="preserve">Tạo màn hình quản lý kỹ thuật viên</t>
  </si>
  <si>
    <t xml:space="preserve">5.2.32</t>
  </si>
  <si>
    <t xml:space="preserve">Tạo màn hình quản lý khách hàng</t>
  </si>
  <si>
    <t xml:space="preserve">5.2.33</t>
  </si>
  <si>
    <t xml:space="preserve">5.3.1</t>
  </si>
  <si>
    <t xml:space="preserve">Tích hợp đầu-cuối Sprint 4: React ↔ FastAPI ↔ PostgreSQL</t>
  </si>
  <si>
    <t xml:space="preserve">5.3.2</t>
  </si>
  <si>
    <t xml:space="preserve">Kiểm thử acceptance và hồi quy Sprint 4</t>
  </si>
  <si>
    <t xml:space="preserve">5.3.4</t>
  </si>
  <si>
    <t xml:space="preserve">Sửa lỗi frontend theo kết quả kiểm thử Sprint 4</t>
  </si>
  <si>
    <t xml:space="preserve">5.3.6</t>
  </si>
  <si>
    <t xml:space="preserve">Retest, xác minh Definition of Done Sprint 4</t>
  </si>
  <si>
    <t xml:space="preserve">5.4.1</t>
  </si>
  <si>
    <t xml:space="preserve">Họp tuần 4 – báo cáo tiến độ, demo và thống nhất việc tiếp theo</t>
  </si>
  <si>
    <t xml:space="preserve">6.2.6</t>
  </si>
  <si>
    <t xml:space="preserve">Sprint 5</t>
  </si>
  <si>
    <t xml:space="preserve">PBI-S05</t>
  </si>
  <si>
    <t xml:space="preserve">PBI S05 – Chức năng và công việc hỗ trợ</t>
  </si>
  <si>
    <t xml:space="preserve">Tạo màn hình báo giá</t>
  </si>
  <si>
    <t xml:space="preserve">6.2.10</t>
  </si>
  <si>
    <t xml:space="preserve">Tạo màn hình xác nhận báo giá</t>
  </si>
  <si>
    <t xml:space="preserve">6.2.13</t>
  </si>
  <si>
    <t xml:space="preserve">Tạo màn hình tiếp nhận thiết bị</t>
  </si>
  <si>
    <t xml:space="preserve">6.2.22</t>
  </si>
  <si>
    <t xml:space="preserve">Tạo màn hình phân công kỹ thuật viên</t>
  </si>
  <si>
    <t xml:space="preserve">6.2.30</t>
  </si>
  <si>
    <t xml:space="preserve">Tạo màn hình cập nhật trạng thái</t>
  </si>
  <si>
    <t xml:space="preserve">6.2.35</t>
  </si>
  <si>
    <t xml:space="preserve">Tạo màn hình chi tiết phiếu sửa</t>
  </si>
  <si>
    <t xml:space="preserve">6.2.36</t>
  </si>
  <si>
    <t xml:space="preserve">Thiết kế UI hoàn chỉnh nhân viên/kỹ thuật viên và báo giá</t>
  </si>
  <si>
    <t xml:space="preserve">6.2.37</t>
  </si>
  <si>
    <t xml:space="preserve">Tạo màn hình quản lý báo giá</t>
  </si>
  <si>
    <t xml:space="preserve">6.2.39</t>
  </si>
  <si>
    <t xml:space="preserve">Tạo màn hình quản lý đơn sửa</t>
  </si>
  <si>
    <t xml:space="preserve">6.2.40</t>
  </si>
  <si>
    <t xml:space="preserve">Tạo dashboard kỹ thuật viên</t>
  </si>
  <si>
    <t xml:space="preserve">6.2.41</t>
  </si>
  <si>
    <t xml:space="preserve">Tạo màn hình danh sách việc cần làm</t>
  </si>
  <si>
    <t xml:space="preserve">6.2.42</t>
  </si>
  <si>
    <t xml:space="preserve">6.3.1</t>
  </si>
  <si>
    <t xml:space="preserve">Tích hợp đầu-cuối Sprint 5: React ↔ FastAPI ↔ PostgreSQL</t>
  </si>
  <si>
    <t xml:space="preserve">6.3.2</t>
  </si>
  <si>
    <t xml:space="preserve">Kiểm thử acceptance và hồi quy Sprint 5</t>
  </si>
  <si>
    <t xml:space="preserve">6.3.4</t>
  </si>
  <si>
    <t xml:space="preserve">Sửa lỗi frontend theo kết quả kiểm thử Sprint 5</t>
  </si>
  <si>
    <t xml:space="preserve">6.3.6</t>
  </si>
  <si>
    <t xml:space="preserve">Retest, xác minh Definition of Done Sprint 5</t>
  </si>
  <si>
    <t xml:space="preserve">6.4.1</t>
  </si>
  <si>
    <t xml:space="preserve">Họp tuần 5 – báo cáo tiến độ, demo và thống nhất việc tiếp theo</t>
  </si>
  <si>
    <t xml:space="preserve">7.2.4</t>
  </si>
  <si>
    <t xml:space="preserve">Sprint 6</t>
  </si>
  <si>
    <t xml:space="preserve">PBI-S06</t>
  </si>
  <si>
    <t xml:space="preserve">PBI S06 – Chức năng và công việc hỗ trợ</t>
  </si>
  <si>
    <t xml:space="preserve">Tạo giao diện quên mật khẩu và đặt lại mật khẩu</t>
  </si>
  <si>
    <t xml:space="preserve">7.2.9</t>
  </si>
  <si>
    <t xml:space="preserve">Tạo màn hình thanh toán</t>
  </si>
  <si>
    <t xml:space="preserve">7.2.14</t>
  </si>
  <si>
    <t xml:space="preserve">Tạo màn hình hóa đơn</t>
  </si>
  <si>
    <t xml:space="preserve">7.2.17</t>
  </si>
  <si>
    <t xml:space="preserve">Tạo màn hình quản lý tài khoản</t>
  </si>
  <si>
    <t xml:space="preserve">7.2.19</t>
  </si>
  <si>
    <t xml:space="preserve">Tạo màn hình lịch sử</t>
  </si>
  <si>
    <t xml:space="preserve">7.2.20</t>
  </si>
  <si>
    <t xml:space="preserve">Thiết kế UI hoàn chỉnh hóa đơn và ghi nhận thanh toán</t>
  </si>
  <si>
    <t xml:space="preserve">7.2.21</t>
  </si>
  <si>
    <t xml:space="preserve">Tạo màn hình quản lý thanh toán</t>
  </si>
  <si>
    <t xml:space="preserve">7.3.1</t>
  </si>
  <si>
    <t xml:space="preserve">Tích hợp đầu-cuối Sprint 6: React ↔ FastAPI ↔ PostgreSQL</t>
  </si>
  <si>
    <t xml:space="preserve">7.3.2</t>
  </si>
  <si>
    <t xml:space="preserve">Kiểm thử acceptance và hồi quy Sprint 6</t>
  </si>
  <si>
    <t xml:space="preserve">7.3.4</t>
  </si>
  <si>
    <t xml:space="preserve">Sửa lỗi frontend theo kết quả kiểm thử Sprint 6</t>
  </si>
  <si>
    <t xml:space="preserve">7.3.6</t>
  </si>
  <si>
    <t xml:space="preserve">Retest, xác minh Definition of Done Sprint 6</t>
  </si>
  <si>
    <t xml:space="preserve">7.4.1</t>
  </si>
  <si>
    <t xml:space="preserve">Họp tuần 6 – báo cáo tiến độ, demo và thống nhất việc tiếp theo</t>
  </si>
  <si>
    <t xml:space="preserve">8.2.6</t>
  </si>
  <si>
    <t xml:space="preserve">Sprint 7</t>
  </si>
  <si>
    <t xml:space="preserve">PBI-S07</t>
  </si>
  <si>
    <t xml:space="preserve">PBI S07 – Chức năng và công việc hỗ trợ</t>
  </si>
  <si>
    <t xml:space="preserve">Tạo màn hình đánh giá</t>
  </si>
  <si>
    <t xml:space="preserve">8.2.11</t>
  </si>
  <si>
    <t xml:space="preserve">Tạo màn hình thông báo</t>
  </si>
  <si>
    <t xml:space="preserve">8.2.16</t>
  </si>
  <si>
    <t xml:space="preserve">Tạo dashboard quản trị</t>
  </si>
  <si>
    <t xml:space="preserve">8.2.22</t>
  </si>
  <si>
    <t xml:space="preserve">Tạo màn hình quản lý dịch vụ</t>
  </si>
  <si>
    <t xml:space="preserve">8.2.27</t>
  </si>
  <si>
    <t xml:space="preserve">Tạo màn hình thống kê</t>
  </si>
  <si>
    <t xml:space="preserve">8.2.29</t>
  </si>
  <si>
    <t xml:space="preserve">Tạo màn hình doanh thu</t>
  </si>
  <si>
    <t xml:space="preserve">8.2.30</t>
  </si>
  <si>
    <t xml:space="preserve">Thiết kế UI hoàn chỉnh dashboard, đánh giá và thông báo</t>
  </si>
  <si>
    <t xml:space="preserve">8.3.1</t>
  </si>
  <si>
    <t xml:space="preserve">Tích hợp đầu-cuối Sprint 7: React ↔ FastAPI ↔ PostgreSQL</t>
  </si>
  <si>
    <t xml:space="preserve">8.3.2</t>
  </si>
  <si>
    <t xml:space="preserve">Regression Test</t>
  </si>
  <si>
    <t xml:space="preserve">Chạy bộ kiểm thử hồi quy/smoke theo luồng chính.</t>
  </si>
  <si>
    <t xml:space="preserve">8.2.40</t>
  </si>
  <si>
    <t xml:space="preserve">Phân loại Bug</t>
  </si>
  <si>
    <t xml:space="preserve">8.3.5</t>
  </si>
  <si>
    <t xml:space="preserve">Sửa lỗi frontend theo kết quả kiểm thử Sprint 7</t>
  </si>
  <si>
    <t xml:space="preserve">8.3.6</t>
  </si>
  <si>
    <t xml:space="preserve">Smoke Test bản demo</t>
  </si>
  <si>
    <t xml:space="preserve">8.3.7</t>
  </si>
  <si>
    <t xml:space="preserve">Retest Bug đã sửa</t>
  </si>
  <si>
    <t xml:space="preserve">8.2.45</t>
  </si>
  <si>
    <t xml:space="preserve">Xác nhận phiên bản Release</t>
  </si>
  <si>
    <t xml:space="preserve">8.2.48</t>
  </si>
  <si>
    <t xml:space="preserve">Bàn giao frontend</t>
  </si>
  <si>
    <t xml:space="preserve">8.4.2</t>
  </si>
  <si>
    <t xml:space="preserve">Họp tuần 7 – báo cáo tiến độ, demo và thống nhất việc tiếp theo</t>
  </si>
  <si>
    <t xml:space="preserve">Tổng cộng</t>
  </si>
  <si>
    <t xml:space="preserve">Mục tiêu Sprint</t>
  </si>
  <si>
    <t xml:space="preserve">Số task</t>
  </si>
  <si>
    <t xml:space="preserve">Công (h)</t>
  </si>
  <si>
    <t xml:space="preserve">Bắt đầu sớm nhất</t>
  </si>
  <si>
    <t xml:space="preserve">Kết thúc muộn nhất</t>
  </si>
  <si>
    <t xml:space="preserve">Khách hàng xem danh sách và chi tiết dịch vụ trên bản web chạy được</t>
  </si>
  <si>
    <t xml:space="preserve">Khách hàng đăng ký, đăng nhập và quản lý hồ sơ</t>
  </si>
  <si>
    <t xml:space="preserve">Khách hàng đặt, đổi, hủy lịch; hệ thống chống trùng khung giờ</t>
  </si>
  <si>
    <t xml:space="preserve">Khách hàng đặt chỗ; nhân viên quản lý hàng chờ và lịch làm việc</t>
  </si>
  <si>
    <t xml:space="preserve">Nhân viên tiếp nhận thiết bị, phân công, cập nhật sửa chữa và duyệt báo giá</t>
  </si>
  <si>
    <t xml:space="preserve">Khách hàng xem hóa đơn, ghi nhận thanh toán và tra cứu lịch sử sửa chữa</t>
  </si>
  <si>
    <t xml:space="preserve">Quản lý xem thống kê; khách hàng nhận thông báo, đánh giá; bàn giao bản demo</t>
  </si>
  <si>
    <t xml:space="preserve">Tổng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</si>
</sst>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General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6" min="6" style="0" width="30"/>
    <col collapsed="false" customWidth="true" hidden="false" outlineLevel="0" max="7" min="7" style="0" width="48"/>
    <col collapsed="false" customWidth="true" hidden="false" outlineLevel="0" max="9" min="8" style="0" width="17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55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8.35" hidden="false" customHeight="false" outlineLevel="0" collapsed="false">
      <c r="A2" s="2" t="n">
        <v>1</v>
      </c>
      <c r="B2" s="2" t="s">
        <v>14</v>
      </c>
      <c r="C2" s="2" t="n">
        <v>762</v>
      </c>
      <c r="D2" s="2" t="s">
        <v>15</v>
      </c>
      <c r="E2" s="2" t="s">
        <v>16</v>
      </c>
      <c r="F2" s="3" t="s">
        <v>17</v>
      </c>
      <c r="G2" s="3" t="s">
        <v>18</v>
      </c>
      <c r="H2" s="4" t="n">
        <v>46275.625</v>
      </c>
      <c r="I2" s="4" t="n">
        <v>46275.6666666667</v>
      </c>
      <c r="J2" s="5" t="n">
        <v>1</v>
      </c>
      <c r="K2" s="5" t="n">
        <v>1</v>
      </c>
      <c r="L2" s="5" t="n">
        <v>8</v>
      </c>
      <c r="M2" s="3" t="s">
        <v>19</v>
      </c>
      <c r="N2" s="5" t="s">
        <v>20</v>
      </c>
    </row>
    <row r="3" customFormat="false" ht="28.35" hidden="false" customHeight="false" outlineLevel="0" collapsed="false">
      <c r="A3" s="2" t="n">
        <v>2</v>
      </c>
      <c r="B3" s="2" t="s">
        <v>21</v>
      </c>
      <c r="C3" s="2" t="n">
        <v>763</v>
      </c>
      <c r="D3" s="2" t="s">
        <v>15</v>
      </c>
      <c r="E3" s="2" t="s">
        <v>16</v>
      </c>
      <c r="F3" s="3" t="s">
        <v>17</v>
      </c>
      <c r="G3" s="3" t="s">
        <v>22</v>
      </c>
      <c r="H3" s="4" t="n">
        <v>46275.6666666667</v>
      </c>
      <c r="I3" s="4" t="n">
        <v>46275.7083333333</v>
      </c>
      <c r="J3" s="5" t="n">
        <v>1</v>
      </c>
      <c r="K3" s="5" t="n">
        <v>1</v>
      </c>
      <c r="L3" s="5" t="n">
        <v>8</v>
      </c>
      <c r="M3" s="3" t="s">
        <v>19</v>
      </c>
      <c r="N3" s="5" t="s">
        <v>20</v>
      </c>
    </row>
    <row r="4" customFormat="false" ht="28.35" hidden="false" customHeight="false" outlineLevel="0" collapsed="false">
      <c r="A4" s="2" t="n">
        <v>3</v>
      </c>
      <c r="B4" s="2" t="s">
        <v>23</v>
      </c>
      <c r="C4" s="2" t="n">
        <v>764</v>
      </c>
      <c r="D4" s="2" t="s">
        <v>15</v>
      </c>
      <c r="E4" s="2" t="s">
        <v>16</v>
      </c>
      <c r="F4" s="3" t="s">
        <v>17</v>
      </c>
      <c r="G4" s="3" t="s">
        <v>24</v>
      </c>
      <c r="H4" s="4" t="n">
        <v>46276.3333333333</v>
      </c>
      <c r="I4" s="4" t="n">
        <v>46276.3541666667</v>
      </c>
      <c r="J4" s="5" t="n">
        <v>0.5</v>
      </c>
      <c r="K4" s="5" t="n">
        <v>0.5</v>
      </c>
      <c r="L4" s="5" t="n">
        <v>8</v>
      </c>
      <c r="M4" s="3" t="s">
        <v>19</v>
      </c>
      <c r="N4" s="5" t="s">
        <v>20</v>
      </c>
    </row>
    <row r="5" customFormat="false" ht="28.35" hidden="false" customHeight="false" outlineLevel="0" collapsed="false">
      <c r="A5" s="2" t="n">
        <v>4</v>
      </c>
      <c r="B5" s="2" t="s">
        <v>25</v>
      </c>
      <c r="C5" s="2" t="n">
        <v>766</v>
      </c>
      <c r="D5" s="2" t="s">
        <v>15</v>
      </c>
      <c r="E5" s="2" t="s">
        <v>16</v>
      </c>
      <c r="F5" s="3" t="s">
        <v>17</v>
      </c>
      <c r="G5" s="3" t="s">
        <v>26</v>
      </c>
      <c r="H5" s="4" t="n">
        <v>46276.3541666667</v>
      </c>
      <c r="I5" s="4" t="n">
        <v>46276.3958333333</v>
      </c>
      <c r="J5" s="5" t="n">
        <v>1</v>
      </c>
      <c r="K5" s="5" t="n">
        <v>1</v>
      </c>
      <c r="L5" s="5" t="n">
        <v>8</v>
      </c>
      <c r="M5" s="3" t="s">
        <v>19</v>
      </c>
      <c r="N5" s="5" t="s">
        <v>20</v>
      </c>
    </row>
    <row r="6" customFormat="false" ht="28.35" hidden="false" customHeight="false" outlineLevel="0" collapsed="false">
      <c r="A6" s="2" t="n">
        <v>5</v>
      </c>
      <c r="B6" s="2" t="s">
        <v>27</v>
      </c>
      <c r="C6" s="2" t="n">
        <v>767</v>
      </c>
      <c r="D6" s="2" t="s">
        <v>15</v>
      </c>
      <c r="E6" s="2" t="s">
        <v>16</v>
      </c>
      <c r="F6" s="3" t="s">
        <v>17</v>
      </c>
      <c r="G6" s="3" t="s">
        <v>28</v>
      </c>
      <c r="H6" s="4" t="n">
        <v>46276.3958333333</v>
      </c>
      <c r="I6" s="4" t="n">
        <v>46276.4375</v>
      </c>
      <c r="J6" s="5" t="n">
        <v>1</v>
      </c>
      <c r="K6" s="5" t="n">
        <v>1</v>
      </c>
      <c r="L6" s="5" t="n">
        <v>8</v>
      </c>
      <c r="M6" s="3" t="s">
        <v>19</v>
      </c>
      <c r="N6" s="5" t="s">
        <v>20</v>
      </c>
    </row>
    <row r="7" customFormat="false" ht="28.35" hidden="false" customHeight="false" outlineLevel="0" collapsed="false">
      <c r="A7" s="2" t="n">
        <v>6</v>
      </c>
      <c r="B7" s="2" t="s">
        <v>29</v>
      </c>
      <c r="C7" s="2" t="n">
        <v>769</v>
      </c>
      <c r="D7" s="2" t="s">
        <v>15</v>
      </c>
      <c r="E7" s="2" t="s">
        <v>16</v>
      </c>
      <c r="F7" s="3" t="s">
        <v>17</v>
      </c>
      <c r="G7" s="3" t="s">
        <v>30</v>
      </c>
      <c r="H7" s="4" t="n">
        <v>46276.4375</v>
      </c>
      <c r="I7" s="4" t="n">
        <v>46276.4791666667</v>
      </c>
      <c r="J7" s="5" t="n">
        <v>1</v>
      </c>
      <c r="K7" s="5" t="n">
        <v>1</v>
      </c>
      <c r="L7" s="5" t="n">
        <v>8</v>
      </c>
      <c r="M7" s="3" t="s">
        <v>19</v>
      </c>
      <c r="N7" s="5" t="s">
        <v>20</v>
      </c>
    </row>
    <row r="8" customFormat="false" ht="28.35" hidden="false" customHeight="false" outlineLevel="0" collapsed="false">
      <c r="A8" s="2" t="n">
        <v>7</v>
      </c>
      <c r="B8" s="2" t="s">
        <v>31</v>
      </c>
      <c r="C8" s="2" t="n">
        <v>770</v>
      </c>
      <c r="D8" s="2" t="s">
        <v>15</v>
      </c>
      <c r="E8" s="2" t="s">
        <v>16</v>
      </c>
      <c r="F8" s="3" t="s">
        <v>17</v>
      </c>
      <c r="G8" s="3" t="s">
        <v>32</v>
      </c>
      <c r="H8" s="4" t="n">
        <v>46276.4791666667</v>
      </c>
      <c r="I8" s="4" t="n">
        <v>46276.5625</v>
      </c>
      <c r="J8" s="5" t="n">
        <v>1</v>
      </c>
      <c r="K8" s="5" t="n">
        <v>1</v>
      </c>
      <c r="L8" s="5" t="n">
        <v>16</v>
      </c>
      <c r="M8" s="3" t="s">
        <v>19</v>
      </c>
      <c r="N8" s="5" t="s">
        <v>20</v>
      </c>
    </row>
    <row r="9" customFormat="false" ht="28.35" hidden="false" customHeight="false" outlineLevel="0" collapsed="false">
      <c r="A9" s="2" t="n">
        <v>8</v>
      </c>
      <c r="B9" s="2" t="s">
        <v>33</v>
      </c>
      <c r="C9" s="2" t="n">
        <v>776</v>
      </c>
      <c r="D9" s="2" t="s">
        <v>15</v>
      </c>
      <c r="E9" s="2" t="s">
        <v>16</v>
      </c>
      <c r="F9" s="3" t="s">
        <v>17</v>
      </c>
      <c r="G9" s="3" t="s">
        <v>34</v>
      </c>
      <c r="H9" s="4" t="n">
        <v>46276.6145833333</v>
      </c>
      <c r="I9" s="4" t="n">
        <v>46276.65625</v>
      </c>
      <c r="J9" s="5" t="n">
        <v>1</v>
      </c>
      <c r="K9" s="5" t="n">
        <v>1</v>
      </c>
      <c r="L9" s="5" t="n">
        <v>8</v>
      </c>
      <c r="M9" s="3" t="s">
        <v>19</v>
      </c>
      <c r="N9" s="5" t="s">
        <v>20</v>
      </c>
    </row>
    <row r="10" customFormat="false" ht="28.35" hidden="false" customHeight="false" outlineLevel="0" collapsed="false">
      <c r="A10" s="2" t="n">
        <v>9</v>
      </c>
      <c r="B10" s="2" t="s">
        <v>35</v>
      </c>
      <c r="C10" s="2" t="n">
        <v>765</v>
      </c>
      <c r="D10" s="2" t="s">
        <v>15</v>
      </c>
      <c r="E10" s="2" t="s">
        <v>16</v>
      </c>
      <c r="F10" s="3" t="s">
        <v>17</v>
      </c>
      <c r="G10" s="3" t="s">
        <v>36</v>
      </c>
      <c r="H10" s="4" t="n">
        <v>46276.65625</v>
      </c>
      <c r="I10" s="4" t="n">
        <v>46276.6979166667</v>
      </c>
      <c r="J10" s="5" t="n">
        <v>1</v>
      </c>
      <c r="K10" s="5" t="n">
        <v>1</v>
      </c>
      <c r="L10" s="5" t="n">
        <v>8</v>
      </c>
      <c r="M10" s="3" t="s">
        <v>19</v>
      </c>
      <c r="N10" s="5" t="s">
        <v>20</v>
      </c>
    </row>
    <row r="11" customFormat="false" ht="28.35" hidden="false" customHeight="false" outlineLevel="0" collapsed="false">
      <c r="A11" s="2" t="n">
        <v>10</v>
      </c>
      <c r="B11" s="2" t="s">
        <v>37</v>
      </c>
      <c r="C11" s="2" t="n">
        <v>768</v>
      </c>
      <c r="D11" s="2" t="s">
        <v>15</v>
      </c>
      <c r="E11" s="2" t="s">
        <v>16</v>
      </c>
      <c r="F11" s="3" t="s">
        <v>17</v>
      </c>
      <c r="G11" s="3" t="s">
        <v>38</v>
      </c>
      <c r="H11" s="4" t="n">
        <v>46276.6979166667</v>
      </c>
      <c r="I11" s="4" t="n">
        <v>46279.3645833333</v>
      </c>
      <c r="J11" s="5" t="n">
        <v>1</v>
      </c>
      <c r="K11" s="5" t="n">
        <v>1</v>
      </c>
      <c r="L11" s="5" t="n">
        <v>8</v>
      </c>
      <c r="M11" s="3" t="s">
        <v>19</v>
      </c>
      <c r="N11" s="5" t="s">
        <v>20</v>
      </c>
    </row>
    <row r="12" customFormat="false" ht="28.35" hidden="false" customHeight="false" outlineLevel="0" collapsed="false">
      <c r="A12" s="2" t="n">
        <v>11</v>
      </c>
      <c r="B12" s="2" t="s">
        <v>39</v>
      </c>
      <c r="C12" s="2" t="n">
        <v>772</v>
      </c>
      <c r="D12" s="2" t="s">
        <v>15</v>
      </c>
      <c r="E12" s="2" t="s">
        <v>16</v>
      </c>
      <c r="F12" s="3" t="s">
        <v>17</v>
      </c>
      <c r="G12" s="3" t="s">
        <v>40</v>
      </c>
      <c r="H12" s="4" t="n">
        <v>46279.3645833333</v>
      </c>
      <c r="I12" s="4" t="n">
        <v>46279.40625</v>
      </c>
      <c r="J12" s="5" t="n">
        <v>1</v>
      </c>
      <c r="K12" s="5" t="n">
        <v>1</v>
      </c>
      <c r="L12" s="5" t="n">
        <v>8</v>
      </c>
      <c r="M12" s="3" t="s">
        <v>19</v>
      </c>
      <c r="N12" s="5" t="s">
        <v>20</v>
      </c>
    </row>
    <row r="13" customFormat="false" ht="28.35" hidden="false" customHeight="false" outlineLevel="0" collapsed="false">
      <c r="A13" s="2" t="n">
        <v>12</v>
      </c>
      <c r="B13" s="2" t="s">
        <v>41</v>
      </c>
      <c r="C13" s="2" t="n">
        <v>773</v>
      </c>
      <c r="D13" s="2" t="s">
        <v>15</v>
      </c>
      <c r="E13" s="2" t="s">
        <v>16</v>
      </c>
      <c r="F13" s="3" t="s">
        <v>17</v>
      </c>
      <c r="G13" s="3" t="s">
        <v>42</v>
      </c>
      <c r="H13" s="4" t="n">
        <v>46279.40625</v>
      </c>
      <c r="I13" s="4" t="n">
        <v>46279.4270833333</v>
      </c>
      <c r="J13" s="5" t="n">
        <v>0.5</v>
      </c>
      <c r="K13" s="5" t="n">
        <v>0.5</v>
      </c>
      <c r="L13" s="5" t="n">
        <v>8</v>
      </c>
      <c r="M13" s="3" t="s">
        <v>19</v>
      </c>
      <c r="N13" s="5" t="s">
        <v>20</v>
      </c>
    </row>
    <row r="14" customFormat="false" ht="28.35" hidden="false" customHeight="false" outlineLevel="0" collapsed="false">
      <c r="A14" s="2" t="n">
        <v>13</v>
      </c>
      <c r="B14" s="2" t="s">
        <v>43</v>
      </c>
      <c r="C14" s="2" t="n">
        <v>774</v>
      </c>
      <c r="D14" s="2" t="s">
        <v>15</v>
      </c>
      <c r="E14" s="2" t="s">
        <v>16</v>
      </c>
      <c r="F14" s="3" t="s">
        <v>17</v>
      </c>
      <c r="G14" s="3" t="s">
        <v>44</v>
      </c>
      <c r="H14" s="4" t="n">
        <v>46279.4270833333</v>
      </c>
      <c r="I14" s="4" t="n">
        <v>46279.4479166667</v>
      </c>
      <c r="J14" s="5" t="n">
        <v>0.5</v>
      </c>
      <c r="K14" s="5" t="n">
        <v>0.5</v>
      </c>
      <c r="L14" s="5" t="n">
        <v>8</v>
      </c>
      <c r="M14" s="3" t="s">
        <v>19</v>
      </c>
      <c r="N14" s="5" t="s">
        <v>20</v>
      </c>
    </row>
    <row r="15" customFormat="false" ht="28.35" hidden="false" customHeight="false" outlineLevel="0" collapsed="false">
      <c r="A15" s="2" t="n">
        <v>14</v>
      </c>
      <c r="B15" s="2" t="s">
        <v>45</v>
      </c>
      <c r="C15" s="2" t="n">
        <v>775</v>
      </c>
      <c r="D15" s="2" t="s">
        <v>15</v>
      </c>
      <c r="E15" s="2" t="s">
        <v>16</v>
      </c>
      <c r="F15" s="3" t="s">
        <v>17</v>
      </c>
      <c r="G15" s="3" t="s">
        <v>46</v>
      </c>
      <c r="H15" s="4" t="n">
        <v>46279.4479166667</v>
      </c>
      <c r="I15" s="4" t="n">
        <v>46279.46875</v>
      </c>
      <c r="J15" s="5" t="n">
        <v>0.5</v>
      </c>
      <c r="K15" s="5" t="n">
        <v>0.5</v>
      </c>
      <c r="L15" s="5" t="n">
        <v>8</v>
      </c>
      <c r="M15" s="3" t="s">
        <v>19</v>
      </c>
      <c r="N15" s="5" t="s">
        <v>20</v>
      </c>
    </row>
    <row r="16" customFormat="false" ht="28.35" hidden="false" customHeight="false" outlineLevel="0" collapsed="false">
      <c r="A16" s="2" t="n">
        <v>15</v>
      </c>
      <c r="B16" s="2" t="s">
        <v>47</v>
      </c>
      <c r="C16" s="2" t="n">
        <v>777</v>
      </c>
      <c r="D16" s="2" t="s">
        <v>15</v>
      </c>
      <c r="E16" s="2" t="s">
        <v>16</v>
      </c>
      <c r="F16" s="3" t="s">
        <v>17</v>
      </c>
      <c r="G16" s="3" t="s">
        <v>48</v>
      </c>
      <c r="H16" s="4" t="n">
        <v>46279.46875</v>
      </c>
      <c r="I16" s="4" t="n">
        <v>46279.5520833333</v>
      </c>
      <c r="J16" s="5" t="n">
        <v>1</v>
      </c>
      <c r="K16" s="5" t="n">
        <v>1</v>
      </c>
      <c r="L16" s="5" t="n">
        <v>8</v>
      </c>
      <c r="M16" s="3" t="s">
        <v>19</v>
      </c>
      <c r="N16" s="5" t="s">
        <v>20</v>
      </c>
    </row>
    <row r="17" customFormat="false" ht="28.35" hidden="false" customHeight="false" outlineLevel="0" collapsed="false">
      <c r="A17" s="2" t="n">
        <v>16</v>
      </c>
      <c r="B17" s="2" t="s">
        <v>49</v>
      </c>
      <c r="C17" s="2" t="n">
        <v>902</v>
      </c>
      <c r="D17" s="2" t="s">
        <v>15</v>
      </c>
      <c r="E17" s="2" t="s">
        <v>16</v>
      </c>
      <c r="F17" s="3" t="s">
        <v>17</v>
      </c>
      <c r="G17" s="3" t="s">
        <v>50</v>
      </c>
      <c r="H17" s="4" t="n">
        <v>46279.5520833333</v>
      </c>
      <c r="I17" s="4" t="n">
        <v>46279.59375</v>
      </c>
      <c r="J17" s="5" t="n">
        <v>1</v>
      </c>
      <c r="K17" s="5" t="n">
        <v>1</v>
      </c>
      <c r="L17" s="5" t="n">
        <v>8</v>
      </c>
      <c r="M17" s="3" t="s">
        <v>19</v>
      </c>
      <c r="N17" s="5" t="s">
        <v>20</v>
      </c>
    </row>
    <row r="18" customFormat="false" ht="28.35" hidden="false" customHeight="false" outlineLevel="0" collapsed="false">
      <c r="A18" s="2" t="n">
        <v>17</v>
      </c>
      <c r="B18" s="2" t="s">
        <v>51</v>
      </c>
      <c r="C18" s="2" t="n">
        <v>2024</v>
      </c>
      <c r="D18" s="2" t="s">
        <v>15</v>
      </c>
      <c r="E18" s="2" t="s">
        <v>16</v>
      </c>
      <c r="F18" s="3" t="s">
        <v>52</v>
      </c>
      <c r="G18" s="3" t="s">
        <v>53</v>
      </c>
      <c r="H18" s="4" t="n">
        <v>46281.3645833333</v>
      </c>
      <c r="I18" s="4" t="n">
        <v>46281.4479166667</v>
      </c>
      <c r="J18" s="5" t="n">
        <v>2</v>
      </c>
      <c r="K18" s="5" t="n">
        <v>2</v>
      </c>
      <c r="L18" s="5"/>
      <c r="M18" s="3" t="s">
        <v>54</v>
      </c>
      <c r="N18" s="5" t="s">
        <v>20</v>
      </c>
    </row>
    <row r="19" customFormat="false" ht="28.35" hidden="false" customHeight="false" outlineLevel="0" collapsed="false">
      <c r="A19" s="2" t="n">
        <v>18</v>
      </c>
      <c r="B19" s="2" t="s">
        <v>55</v>
      </c>
      <c r="C19" s="2" t="n">
        <v>2025</v>
      </c>
      <c r="D19" s="2" t="s">
        <v>15</v>
      </c>
      <c r="E19" s="2" t="s">
        <v>16</v>
      </c>
      <c r="F19" s="3" t="s">
        <v>52</v>
      </c>
      <c r="G19" s="3" t="s">
        <v>56</v>
      </c>
      <c r="H19" s="4" t="n">
        <v>46281.4479166667</v>
      </c>
      <c r="I19" s="4" t="n">
        <v>46281.5729166667</v>
      </c>
      <c r="J19" s="5" t="n">
        <v>2</v>
      </c>
      <c r="K19" s="5" t="n">
        <v>2</v>
      </c>
      <c r="L19" s="5"/>
      <c r="M19" s="3" t="s">
        <v>54</v>
      </c>
      <c r="N19" s="5" t="s">
        <v>20</v>
      </c>
    </row>
    <row r="20" customFormat="false" ht="28.35" hidden="false" customHeight="false" outlineLevel="0" collapsed="false">
      <c r="A20" s="2" t="n">
        <v>19</v>
      </c>
      <c r="B20" s="2" t="s">
        <v>57</v>
      </c>
      <c r="C20" s="2" t="n">
        <v>2027</v>
      </c>
      <c r="D20" s="2" t="s">
        <v>15</v>
      </c>
      <c r="E20" s="2" t="s">
        <v>16</v>
      </c>
      <c r="F20" s="3" t="s">
        <v>52</v>
      </c>
      <c r="G20" s="3" t="s">
        <v>58</v>
      </c>
      <c r="H20" s="4" t="n">
        <v>46281.65625</v>
      </c>
      <c r="I20" s="4" t="n">
        <v>46281.6979166667</v>
      </c>
      <c r="J20" s="5" t="n">
        <v>1</v>
      </c>
      <c r="K20" s="5" t="n">
        <v>1</v>
      </c>
      <c r="L20" s="5"/>
      <c r="M20" s="3" t="s">
        <v>54</v>
      </c>
      <c r="N20" s="5" t="s">
        <v>20</v>
      </c>
    </row>
    <row r="21" customFormat="false" ht="28.35" hidden="false" customHeight="false" outlineLevel="0" collapsed="false">
      <c r="A21" s="2" t="n">
        <v>20</v>
      </c>
      <c r="B21" s="2" t="s">
        <v>59</v>
      </c>
      <c r="C21" s="2" t="n">
        <v>2029</v>
      </c>
      <c r="D21" s="2" t="s">
        <v>15</v>
      </c>
      <c r="E21" s="2" t="s">
        <v>16</v>
      </c>
      <c r="F21" s="3" t="s">
        <v>52</v>
      </c>
      <c r="G21" s="3" t="s">
        <v>60</v>
      </c>
      <c r="H21" s="4" t="n">
        <v>46281.6979166667</v>
      </c>
      <c r="I21" s="4" t="n">
        <v>46282.3645833333</v>
      </c>
      <c r="J21" s="5" t="n">
        <v>1</v>
      </c>
      <c r="K21" s="5" t="n">
        <v>1</v>
      </c>
      <c r="L21" s="5"/>
      <c r="M21" s="3" t="s">
        <v>54</v>
      </c>
      <c r="N21" s="5" t="s">
        <v>20</v>
      </c>
    </row>
    <row r="22" customFormat="false" ht="28.35" hidden="false" customHeight="false" outlineLevel="0" collapsed="false">
      <c r="A22" s="2" t="n">
        <v>21</v>
      </c>
      <c r="B22" s="2" t="s">
        <v>61</v>
      </c>
      <c r="C22" s="2" t="n">
        <v>2016</v>
      </c>
      <c r="D22" s="2" t="s">
        <v>15</v>
      </c>
      <c r="E22" s="2" t="s">
        <v>16</v>
      </c>
      <c r="F22" s="3" t="s">
        <v>62</v>
      </c>
      <c r="G22" s="3" t="s">
        <v>63</v>
      </c>
      <c r="H22" s="4" t="n">
        <v>46282.3645833333</v>
      </c>
      <c r="I22" s="4" t="n">
        <v>46282.4479166667</v>
      </c>
      <c r="J22" s="5" t="n">
        <v>2</v>
      </c>
      <c r="K22" s="5" t="n">
        <v>2</v>
      </c>
      <c r="L22" s="5"/>
      <c r="M22" s="3"/>
      <c r="N22" s="5" t="s">
        <v>20</v>
      </c>
    </row>
    <row r="23" customFormat="false" ht="28.35" hidden="false" customHeight="false" outlineLevel="0" collapsed="false">
      <c r="A23" s="2" t="n">
        <v>22</v>
      </c>
      <c r="B23" s="2" t="s">
        <v>64</v>
      </c>
      <c r="C23" s="2" t="n">
        <v>771</v>
      </c>
      <c r="D23" s="2" t="s">
        <v>65</v>
      </c>
      <c r="E23" s="2" t="s">
        <v>66</v>
      </c>
      <c r="F23" s="3" t="s">
        <v>67</v>
      </c>
      <c r="G23" s="3" t="s">
        <v>68</v>
      </c>
      <c r="H23" s="4" t="n">
        <v>46282.5416666667</v>
      </c>
      <c r="I23" s="4" t="n">
        <v>46282.5833333333</v>
      </c>
      <c r="J23" s="5" t="n">
        <v>1</v>
      </c>
      <c r="K23" s="5" t="n">
        <v>1</v>
      </c>
      <c r="L23" s="5" t="n">
        <v>8</v>
      </c>
      <c r="M23" s="3" t="s">
        <v>19</v>
      </c>
      <c r="N23" s="5" t="s">
        <v>20</v>
      </c>
    </row>
    <row r="24" customFormat="false" ht="28.35" hidden="false" customHeight="false" outlineLevel="0" collapsed="false">
      <c r="A24" s="2" t="n">
        <v>23</v>
      </c>
      <c r="B24" s="2" t="s">
        <v>69</v>
      </c>
      <c r="C24" s="2" t="n">
        <v>778</v>
      </c>
      <c r="D24" s="2" t="s">
        <v>65</v>
      </c>
      <c r="E24" s="2" t="s">
        <v>66</v>
      </c>
      <c r="F24" s="3" t="s">
        <v>67</v>
      </c>
      <c r="G24" s="3" t="s">
        <v>70</v>
      </c>
      <c r="H24" s="4" t="n">
        <v>46282.6979166667</v>
      </c>
      <c r="I24" s="4" t="n">
        <v>46283.3645833333</v>
      </c>
      <c r="J24" s="5" t="n">
        <v>1</v>
      </c>
      <c r="K24" s="5" t="n">
        <v>1</v>
      </c>
      <c r="L24" s="5" t="n">
        <v>8</v>
      </c>
      <c r="M24" s="3" t="s">
        <v>19</v>
      </c>
      <c r="N24" s="5" t="s">
        <v>20</v>
      </c>
    </row>
    <row r="25" customFormat="false" ht="28.35" hidden="false" customHeight="false" outlineLevel="0" collapsed="false">
      <c r="A25" s="2" t="n">
        <v>24</v>
      </c>
      <c r="B25" s="2" t="s">
        <v>71</v>
      </c>
      <c r="C25" s="2" t="n">
        <v>779</v>
      </c>
      <c r="D25" s="2" t="s">
        <v>65</v>
      </c>
      <c r="E25" s="2" t="s">
        <v>66</v>
      </c>
      <c r="F25" s="3" t="s">
        <v>67</v>
      </c>
      <c r="G25" s="3" t="s">
        <v>72</v>
      </c>
      <c r="H25" s="4" t="n">
        <v>46283.3854166667</v>
      </c>
      <c r="I25" s="4" t="n">
        <v>46283.4270833333</v>
      </c>
      <c r="J25" s="5" t="n">
        <v>1</v>
      </c>
      <c r="K25" s="5" t="n">
        <v>1</v>
      </c>
      <c r="L25" s="5" t="n">
        <v>8</v>
      </c>
      <c r="M25" s="3" t="s">
        <v>19</v>
      </c>
      <c r="N25" s="5" t="s">
        <v>20</v>
      </c>
    </row>
    <row r="26" customFormat="false" ht="28.35" hidden="false" customHeight="false" outlineLevel="0" collapsed="false">
      <c r="A26" s="2" t="n">
        <v>25</v>
      </c>
      <c r="B26" s="2" t="s">
        <v>73</v>
      </c>
      <c r="C26" s="2" t="n">
        <v>781</v>
      </c>
      <c r="D26" s="2" t="s">
        <v>65</v>
      </c>
      <c r="E26" s="2" t="s">
        <v>66</v>
      </c>
      <c r="F26" s="3" t="s">
        <v>67</v>
      </c>
      <c r="G26" s="3" t="s">
        <v>74</v>
      </c>
      <c r="H26" s="4" t="n">
        <v>46283.4583333333</v>
      </c>
      <c r="I26" s="4" t="n">
        <v>46283.5</v>
      </c>
      <c r="J26" s="5" t="n">
        <v>1</v>
      </c>
      <c r="K26" s="5" t="n">
        <v>1</v>
      </c>
      <c r="L26" s="5" t="n">
        <v>8</v>
      </c>
      <c r="M26" s="3" t="s">
        <v>19</v>
      </c>
      <c r="N26" s="5" t="s">
        <v>20</v>
      </c>
    </row>
    <row r="27" customFormat="false" ht="28.35" hidden="false" customHeight="false" outlineLevel="0" collapsed="false">
      <c r="A27" s="2" t="n">
        <v>26</v>
      </c>
      <c r="B27" s="2" t="s">
        <v>75</v>
      </c>
      <c r="C27" s="2" t="n">
        <v>824</v>
      </c>
      <c r="D27" s="2" t="s">
        <v>65</v>
      </c>
      <c r="E27" s="2" t="s">
        <v>66</v>
      </c>
      <c r="F27" s="3" t="s">
        <v>67</v>
      </c>
      <c r="G27" s="3" t="s">
        <v>76</v>
      </c>
      <c r="H27" s="4" t="n">
        <v>46283.5416666667</v>
      </c>
      <c r="I27" s="4" t="n">
        <v>46283.6041666667</v>
      </c>
      <c r="J27" s="5" t="n">
        <v>1.5</v>
      </c>
      <c r="K27" s="5" t="n">
        <v>1.5</v>
      </c>
      <c r="L27" s="5" t="n">
        <v>8</v>
      </c>
      <c r="M27" s="3" t="s">
        <v>77</v>
      </c>
      <c r="N27" s="5" t="s">
        <v>20</v>
      </c>
    </row>
    <row r="28" customFormat="false" ht="28.35" hidden="false" customHeight="false" outlineLevel="0" collapsed="false">
      <c r="A28" s="2" t="n">
        <v>27</v>
      </c>
      <c r="B28" s="2" t="s">
        <v>78</v>
      </c>
      <c r="C28" s="2" t="n">
        <v>825</v>
      </c>
      <c r="D28" s="2" t="s">
        <v>65</v>
      </c>
      <c r="E28" s="2" t="s">
        <v>66</v>
      </c>
      <c r="F28" s="3" t="s">
        <v>67</v>
      </c>
      <c r="G28" s="3" t="s">
        <v>79</v>
      </c>
      <c r="H28" s="4" t="n">
        <v>46283.6666666667</v>
      </c>
      <c r="I28" s="4" t="n">
        <v>46286.3541666667</v>
      </c>
      <c r="J28" s="5" t="n">
        <v>1.5</v>
      </c>
      <c r="K28" s="5" t="n">
        <v>1.5</v>
      </c>
      <c r="L28" s="5" t="n">
        <v>8</v>
      </c>
      <c r="M28" s="3" t="s">
        <v>77</v>
      </c>
      <c r="N28" s="5" t="s">
        <v>20</v>
      </c>
    </row>
    <row r="29" customFormat="false" ht="28.35" hidden="false" customHeight="false" outlineLevel="0" collapsed="false">
      <c r="A29" s="2" t="n">
        <v>28</v>
      </c>
      <c r="B29" s="2" t="s">
        <v>80</v>
      </c>
      <c r="C29" s="2" t="n">
        <v>2039</v>
      </c>
      <c r="D29" s="2" t="s">
        <v>65</v>
      </c>
      <c r="E29" s="2" t="s">
        <v>66</v>
      </c>
      <c r="F29" s="3" t="s">
        <v>52</v>
      </c>
      <c r="G29" s="3" t="s">
        <v>81</v>
      </c>
      <c r="H29" s="4" t="n">
        <v>46287.4270833333</v>
      </c>
      <c r="I29" s="4" t="n">
        <v>46287.5520833333</v>
      </c>
      <c r="J29" s="5" t="n">
        <v>2</v>
      </c>
      <c r="K29" s="5" t="n">
        <v>2</v>
      </c>
      <c r="L29" s="5"/>
      <c r="M29" s="3" t="s">
        <v>54</v>
      </c>
      <c r="N29" s="5" t="s">
        <v>20</v>
      </c>
    </row>
    <row r="30" customFormat="false" ht="28.35" hidden="false" customHeight="false" outlineLevel="0" collapsed="false">
      <c r="A30" s="2" t="n">
        <v>29</v>
      </c>
      <c r="B30" s="2" t="s">
        <v>82</v>
      </c>
      <c r="C30" s="2" t="n">
        <v>2040</v>
      </c>
      <c r="D30" s="2" t="s">
        <v>65</v>
      </c>
      <c r="E30" s="2" t="s">
        <v>66</v>
      </c>
      <c r="F30" s="3" t="s">
        <v>52</v>
      </c>
      <c r="G30" s="3" t="s">
        <v>83</v>
      </c>
      <c r="H30" s="4" t="n">
        <v>46287.5520833333</v>
      </c>
      <c r="I30" s="4" t="n">
        <v>46287.6354166667</v>
      </c>
      <c r="J30" s="5" t="n">
        <v>2</v>
      </c>
      <c r="K30" s="5" t="n">
        <v>2</v>
      </c>
      <c r="L30" s="5"/>
      <c r="M30" s="3" t="s">
        <v>54</v>
      </c>
      <c r="N30" s="5" t="s">
        <v>20</v>
      </c>
    </row>
    <row r="31" customFormat="false" ht="28.35" hidden="false" customHeight="false" outlineLevel="0" collapsed="false">
      <c r="A31" s="2" t="n">
        <v>30</v>
      </c>
      <c r="B31" s="2" t="s">
        <v>84</v>
      </c>
      <c r="C31" s="2" t="n">
        <v>2042</v>
      </c>
      <c r="D31" s="2" t="s">
        <v>65</v>
      </c>
      <c r="E31" s="2" t="s">
        <v>66</v>
      </c>
      <c r="F31" s="3" t="s">
        <v>52</v>
      </c>
      <c r="G31" s="3" t="s">
        <v>85</v>
      </c>
      <c r="H31" s="4" t="n">
        <v>46288.34375</v>
      </c>
      <c r="I31" s="4" t="n">
        <v>46288.3854166667</v>
      </c>
      <c r="J31" s="5" t="n">
        <v>1</v>
      </c>
      <c r="K31" s="5" t="n">
        <v>1</v>
      </c>
      <c r="L31" s="5"/>
      <c r="M31" s="3" t="s">
        <v>54</v>
      </c>
      <c r="N31" s="5" t="s">
        <v>20</v>
      </c>
    </row>
    <row r="32" customFormat="false" ht="28.35" hidden="false" customHeight="false" outlineLevel="0" collapsed="false">
      <c r="A32" s="2" t="n">
        <v>31</v>
      </c>
      <c r="B32" s="2" t="s">
        <v>86</v>
      </c>
      <c r="C32" s="2" t="n">
        <v>2044</v>
      </c>
      <c r="D32" s="2" t="s">
        <v>65</v>
      </c>
      <c r="E32" s="2" t="s">
        <v>66</v>
      </c>
      <c r="F32" s="3" t="s">
        <v>52</v>
      </c>
      <c r="G32" s="3" t="s">
        <v>87</v>
      </c>
      <c r="H32" s="4" t="n">
        <v>46288.3854166667</v>
      </c>
      <c r="I32" s="4" t="n">
        <v>46288.4270833333</v>
      </c>
      <c r="J32" s="5" t="n">
        <v>1</v>
      </c>
      <c r="K32" s="5" t="n">
        <v>1</v>
      </c>
      <c r="L32" s="5"/>
      <c r="M32" s="3" t="s">
        <v>54</v>
      </c>
      <c r="N32" s="5" t="s">
        <v>20</v>
      </c>
    </row>
    <row r="33" customFormat="false" ht="28.35" hidden="false" customHeight="false" outlineLevel="0" collapsed="false">
      <c r="A33" s="2" t="n">
        <v>32</v>
      </c>
      <c r="B33" s="2" t="s">
        <v>88</v>
      </c>
      <c r="C33" s="2" t="n">
        <v>2031</v>
      </c>
      <c r="D33" s="2" t="s">
        <v>65</v>
      </c>
      <c r="E33" s="2" t="s">
        <v>66</v>
      </c>
      <c r="F33" s="3" t="s">
        <v>62</v>
      </c>
      <c r="G33" s="3" t="s">
        <v>89</v>
      </c>
      <c r="H33" s="4" t="n">
        <v>46288.625</v>
      </c>
      <c r="I33" s="4" t="n">
        <v>46288.7083333333</v>
      </c>
      <c r="J33" s="5" t="n">
        <v>2</v>
      </c>
      <c r="K33" s="5" t="n">
        <v>2</v>
      </c>
      <c r="L33" s="5"/>
      <c r="M33" s="3"/>
      <c r="N33" s="5" t="s">
        <v>20</v>
      </c>
    </row>
    <row r="34" customFormat="false" ht="28.35" hidden="false" customHeight="false" outlineLevel="0" collapsed="false">
      <c r="A34" s="2" t="n">
        <v>33</v>
      </c>
      <c r="B34" s="2" t="s">
        <v>90</v>
      </c>
      <c r="C34" s="2" t="n">
        <v>786</v>
      </c>
      <c r="D34" s="2" t="s">
        <v>91</v>
      </c>
      <c r="E34" s="2" t="s">
        <v>92</v>
      </c>
      <c r="F34" s="3" t="s">
        <v>93</v>
      </c>
      <c r="G34" s="3" t="s">
        <v>94</v>
      </c>
      <c r="H34" s="4" t="n">
        <v>46289.3854166667</v>
      </c>
      <c r="I34" s="4" t="n">
        <v>46289.4270833333</v>
      </c>
      <c r="J34" s="5" t="n">
        <v>1</v>
      </c>
      <c r="K34" s="5" t="n">
        <v>1</v>
      </c>
      <c r="L34" s="5" t="n">
        <v>8</v>
      </c>
      <c r="M34" s="3" t="s">
        <v>19</v>
      </c>
      <c r="N34" s="5" t="s">
        <v>20</v>
      </c>
    </row>
    <row r="35" customFormat="false" ht="28.35" hidden="false" customHeight="false" outlineLevel="0" collapsed="false">
      <c r="A35" s="2" t="n">
        <v>34</v>
      </c>
      <c r="B35" s="2" t="s">
        <v>95</v>
      </c>
      <c r="C35" s="2" t="n">
        <v>782</v>
      </c>
      <c r="D35" s="2" t="s">
        <v>91</v>
      </c>
      <c r="E35" s="2" t="s">
        <v>92</v>
      </c>
      <c r="F35" s="3" t="s">
        <v>93</v>
      </c>
      <c r="G35" s="3" t="s">
        <v>96</v>
      </c>
      <c r="H35" s="4" t="n">
        <v>46289.4479166667</v>
      </c>
      <c r="I35" s="4" t="n">
        <v>46289.4895833333</v>
      </c>
      <c r="J35" s="5" t="n">
        <v>1</v>
      </c>
      <c r="K35" s="5" t="n">
        <v>1</v>
      </c>
      <c r="L35" s="5" t="n">
        <v>8</v>
      </c>
      <c r="M35" s="3" t="s">
        <v>19</v>
      </c>
      <c r="N35" s="5" t="s">
        <v>20</v>
      </c>
    </row>
    <row r="36" customFormat="false" ht="28.35" hidden="false" customHeight="false" outlineLevel="0" collapsed="false">
      <c r="A36" s="2" t="n">
        <v>35</v>
      </c>
      <c r="B36" s="2" t="s">
        <v>97</v>
      </c>
      <c r="C36" s="2" t="n">
        <v>783</v>
      </c>
      <c r="D36" s="2" t="s">
        <v>91</v>
      </c>
      <c r="E36" s="2" t="s">
        <v>92</v>
      </c>
      <c r="F36" s="3" t="s">
        <v>93</v>
      </c>
      <c r="G36" s="3" t="s">
        <v>98</v>
      </c>
      <c r="H36" s="4" t="n">
        <v>46289.4895833333</v>
      </c>
      <c r="I36" s="4" t="n">
        <v>46289.5729166667</v>
      </c>
      <c r="J36" s="5" t="n">
        <v>1</v>
      </c>
      <c r="K36" s="5" t="n">
        <v>1</v>
      </c>
      <c r="L36" s="5" t="n">
        <v>8</v>
      </c>
      <c r="M36" s="3" t="s">
        <v>19</v>
      </c>
      <c r="N36" s="5" t="s">
        <v>20</v>
      </c>
    </row>
    <row r="37" customFormat="false" ht="28.35" hidden="false" customHeight="false" outlineLevel="0" collapsed="false">
      <c r="A37" s="2" t="n">
        <v>36</v>
      </c>
      <c r="B37" s="2" t="s">
        <v>99</v>
      </c>
      <c r="C37" s="2" t="n">
        <v>784</v>
      </c>
      <c r="D37" s="2" t="s">
        <v>91</v>
      </c>
      <c r="E37" s="2" t="s">
        <v>92</v>
      </c>
      <c r="F37" s="3" t="s">
        <v>93</v>
      </c>
      <c r="G37" s="3" t="s">
        <v>100</v>
      </c>
      <c r="H37" s="4" t="n">
        <v>46289.5729166667</v>
      </c>
      <c r="I37" s="4" t="n">
        <v>46289.6145833333</v>
      </c>
      <c r="J37" s="5" t="n">
        <v>1</v>
      </c>
      <c r="K37" s="5" t="n">
        <v>1</v>
      </c>
      <c r="L37" s="5" t="n">
        <v>8</v>
      </c>
      <c r="M37" s="3" t="s">
        <v>19</v>
      </c>
      <c r="N37" s="5" t="s">
        <v>20</v>
      </c>
    </row>
    <row r="38" customFormat="false" ht="28.35" hidden="false" customHeight="false" outlineLevel="0" collapsed="false">
      <c r="A38" s="2" t="n">
        <v>37</v>
      </c>
      <c r="B38" s="2" t="s">
        <v>101</v>
      </c>
      <c r="C38" s="2" t="n">
        <v>785</v>
      </c>
      <c r="D38" s="2" t="s">
        <v>91</v>
      </c>
      <c r="E38" s="2" t="s">
        <v>92</v>
      </c>
      <c r="F38" s="3" t="s">
        <v>93</v>
      </c>
      <c r="G38" s="3" t="s">
        <v>102</v>
      </c>
      <c r="H38" s="4" t="n">
        <v>46289.6145833333</v>
      </c>
      <c r="I38" s="4" t="n">
        <v>46289.65625</v>
      </c>
      <c r="J38" s="5" t="n">
        <v>1</v>
      </c>
      <c r="K38" s="5" t="n">
        <v>1</v>
      </c>
      <c r="L38" s="5" t="n">
        <v>8</v>
      </c>
      <c r="M38" s="3" t="s">
        <v>19</v>
      </c>
      <c r="N38" s="5" t="s">
        <v>20</v>
      </c>
    </row>
    <row r="39" customFormat="false" ht="28.35" hidden="false" customHeight="false" outlineLevel="0" collapsed="false">
      <c r="A39" s="2" t="n">
        <v>38</v>
      </c>
      <c r="B39" s="2" t="s">
        <v>103</v>
      </c>
      <c r="C39" s="2" t="n">
        <v>788</v>
      </c>
      <c r="D39" s="2" t="s">
        <v>91</v>
      </c>
      <c r="E39" s="2" t="s">
        <v>92</v>
      </c>
      <c r="F39" s="3" t="s">
        <v>93</v>
      </c>
      <c r="G39" s="3" t="s">
        <v>104</v>
      </c>
      <c r="H39" s="4" t="n">
        <v>46289.65625</v>
      </c>
      <c r="I39" s="4" t="n">
        <v>46289.6979166667</v>
      </c>
      <c r="J39" s="5" t="n">
        <v>1</v>
      </c>
      <c r="K39" s="5" t="n">
        <v>1</v>
      </c>
      <c r="L39" s="5" t="n">
        <v>8</v>
      </c>
      <c r="M39" s="3" t="s">
        <v>19</v>
      </c>
      <c r="N39" s="5" t="s">
        <v>20</v>
      </c>
    </row>
    <row r="40" customFormat="false" ht="28.35" hidden="false" customHeight="false" outlineLevel="0" collapsed="false">
      <c r="A40" s="2" t="n">
        <v>39</v>
      </c>
      <c r="B40" s="2" t="s">
        <v>105</v>
      </c>
      <c r="C40" s="2" t="n">
        <v>787</v>
      </c>
      <c r="D40" s="2" t="s">
        <v>91</v>
      </c>
      <c r="E40" s="2" t="s">
        <v>92</v>
      </c>
      <c r="F40" s="3" t="s">
        <v>93</v>
      </c>
      <c r="G40" s="3" t="s">
        <v>106</v>
      </c>
      <c r="H40" s="4" t="n">
        <v>46290.34375</v>
      </c>
      <c r="I40" s="4" t="n">
        <v>46290.4270833333</v>
      </c>
      <c r="J40" s="5" t="n">
        <v>2</v>
      </c>
      <c r="K40" s="5" t="n">
        <v>2</v>
      </c>
      <c r="L40" s="5" t="n">
        <v>8</v>
      </c>
      <c r="M40" s="3" t="s">
        <v>107</v>
      </c>
      <c r="N40" s="5" t="s">
        <v>20</v>
      </c>
    </row>
    <row r="41" customFormat="false" ht="28.35" hidden="false" customHeight="false" outlineLevel="0" collapsed="false">
      <c r="A41" s="2" t="n">
        <v>40</v>
      </c>
      <c r="B41" s="2" t="s">
        <v>108</v>
      </c>
      <c r="C41" s="2" t="n">
        <v>789</v>
      </c>
      <c r="D41" s="2" t="s">
        <v>91</v>
      </c>
      <c r="E41" s="2" t="s">
        <v>92</v>
      </c>
      <c r="F41" s="3" t="s">
        <v>93</v>
      </c>
      <c r="G41" s="3" t="s">
        <v>109</v>
      </c>
      <c r="H41" s="4" t="n">
        <v>46290.4270833333</v>
      </c>
      <c r="I41" s="4" t="n">
        <v>46290.46875</v>
      </c>
      <c r="J41" s="5" t="n">
        <v>1</v>
      </c>
      <c r="K41" s="5" t="n">
        <v>1</v>
      </c>
      <c r="L41" s="5" t="n">
        <v>8</v>
      </c>
      <c r="M41" s="3" t="s">
        <v>19</v>
      </c>
      <c r="N41" s="5" t="s">
        <v>20</v>
      </c>
    </row>
    <row r="42" customFormat="false" ht="28.35" hidden="false" customHeight="false" outlineLevel="0" collapsed="false">
      <c r="A42" s="2" t="n">
        <v>41</v>
      </c>
      <c r="B42" s="2" t="s">
        <v>110</v>
      </c>
      <c r="C42" s="2" t="n">
        <v>790</v>
      </c>
      <c r="D42" s="2" t="s">
        <v>91</v>
      </c>
      <c r="E42" s="2" t="s">
        <v>92</v>
      </c>
      <c r="F42" s="3" t="s">
        <v>93</v>
      </c>
      <c r="G42" s="3" t="s">
        <v>111</v>
      </c>
      <c r="H42" s="4" t="n">
        <v>46290.46875</v>
      </c>
      <c r="I42" s="4" t="n">
        <v>46290.59375</v>
      </c>
      <c r="J42" s="5" t="n">
        <v>2</v>
      </c>
      <c r="K42" s="5" t="n">
        <v>2</v>
      </c>
      <c r="L42" s="5" t="n">
        <v>16</v>
      </c>
      <c r="M42" s="3" t="s">
        <v>107</v>
      </c>
      <c r="N42" s="5" t="s">
        <v>20</v>
      </c>
    </row>
    <row r="43" customFormat="false" ht="28.35" hidden="false" customHeight="false" outlineLevel="0" collapsed="false">
      <c r="A43" s="2" t="n">
        <v>42</v>
      </c>
      <c r="B43" s="2" t="s">
        <v>112</v>
      </c>
      <c r="C43" s="2" t="n">
        <v>791</v>
      </c>
      <c r="D43" s="2" t="s">
        <v>91</v>
      </c>
      <c r="E43" s="2" t="s">
        <v>92</v>
      </c>
      <c r="F43" s="3" t="s">
        <v>93</v>
      </c>
      <c r="G43" s="3" t="s">
        <v>113</v>
      </c>
      <c r="H43" s="4" t="n">
        <v>46290.59375</v>
      </c>
      <c r="I43" s="4" t="n">
        <v>46290.6354166667</v>
      </c>
      <c r="J43" s="5" t="n">
        <v>1</v>
      </c>
      <c r="K43" s="5" t="n">
        <v>1</v>
      </c>
      <c r="L43" s="5" t="n">
        <v>8</v>
      </c>
      <c r="M43" s="3" t="s">
        <v>19</v>
      </c>
      <c r="N43" s="5" t="s">
        <v>20</v>
      </c>
    </row>
    <row r="44" customFormat="false" ht="28.35" hidden="false" customHeight="false" outlineLevel="0" collapsed="false">
      <c r="A44" s="2" t="n">
        <v>43</v>
      </c>
      <c r="B44" s="2" t="s">
        <v>114</v>
      </c>
      <c r="C44" s="2" t="n">
        <v>2054</v>
      </c>
      <c r="D44" s="2" t="s">
        <v>91</v>
      </c>
      <c r="E44" s="2" t="s">
        <v>92</v>
      </c>
      <c r="F44" s="3" t="s">
        <v>52</v>
      </c>
      <c r="G44" s="3" t="s">
        <v>115</v>
      </c>
      <c r="H44" s="4" t="n">
        <v>46294.46875</v>
      </c>
      <c r="I44" s="4" t="n">
        <v>46294.59375</v>
      </c>
      <c r="J44" s="5" t="n">
        <v>2</v>
      </c>
      <c r="K44" s="5" t="n">
        <v>2</v>
      </c>
      <c r="L44" s="5"/>
      <c r="M44" s="3" t="s">
        <v>54</v>
      </c>
      <c r="N44" s="5" t="s">
        <v>20</v>
      </c>
    </row>
    <row r="45" customFormat="false" ht="28.35" hidden="false" customHeight="false" outlineLevel="0" collapsed="false">
      <c r="A45" s="2" t="n">
        <v>44</v>
      </c>
      <c r="B45" s="2" t="s">
        <v>116</v>
      </c>
      <c r="C45" s="2" t="n">
        <v>2055</v>
      </c>
      <c r="D45" s="2" t="s">
        <v>91</v>
      </c>
      <c r="E45" s="2" t="s">
        <v>92</v>
      </c>
      <c r="F45" s="3" t="s">
        <v>52</v>
      </c>
      <c r="G45" s="3" t="s">
        <v>117</v>
      </c>
      <c r="H45" s="4" t="n">
        <v>46295.34375</v>
      </c>
      <c r="I45" s="4" t="n">
        <v>46295.4270833333</v>
      </c>
      <c r="J45" s="5" t="n">
        <v>2</v>
      </c>
      <c r="K45" s="5" t="n">
        <v>2</v>
      </c>
      <c r="L45" s="5"/>
      <c r="M45" s="3" t="s">
        <v>54</v>
      </c>
      <c r="N45" s="5" t="s">
        <v>20</v>
      </c>
    </row>
    <row r="46" customFormat="false" ht="28.35" hidden="false" customHeight="false" outlineLevel="0" collapsed="false">
      <c r="A46" s="2" t="n">
        <v>45</v>
      </c>
      <c r="B46" s="2" t="s">
        <v>118</v>
      </c>
      <c r="C46" s="2" t="n">
        <v>2057</v>
      </c>
      <c r="D46" s="2" t="s">
        <v>91</v>
      </c>
      <c r="E46" s="2" t="s">
        <v>92</v>
      </c>
      <c r="F46" s="3" t="s">
        <v>52</v>
      </c>
      <c r="G46" s="3" t="s">
        <v>119</v>
      </c>
      <c r="H46" s="4" t="n">
        <v>46295.4270833333</v>
      </c>
      <c r="I46" s="4" t="n">
        <v>46295.46875</v>
      </c>
      <c r="J46" s="5" t="n">
        <v>1</v>
      </c>
      <c r="K46" s="5" t="n">
        <v>1</v>
      </c>
      <c r="L46" s="5"/>
      <c r="M46" s="3" t="s">
        <v>54</v>
      </c>
      <c r="N46" s="5" t="s">
        <v>20</v>
      </c>
    </row>
    <row r="47" customFormat="false" ht="28.35" hidden="false" customHeight="false" outlineLevel="0" collapsed="false">
      <c r="A47" s="2" t="n">
        <v>46</v>
      </c>
      <c r="B47" s="2" t="s">
        <v>120</v>
      </c>
      <c r="C47" s="2" t="n">
        <v>2059</v>
      </c>
      <c r="D47" s="2" t="s">
        <v>91</v>
      </c>
      <c r="E47" s="2" t="s">
        <v>92</v>
      </c>
      <c r="F47" s="3" t="s">
        <v>52</v>
      </c>
      <c r="G47" s="3" t="s">
        <v>121</v>
      </c>
      <c r="H47" s="4" t="n">
        <v>46295.46875</v>
      </c>
      <c r="I47" s="4" t="n">
        <v>46295.5520833333</v>
      </c>
      <c r="J47" s="5" t="n">
        <v>1</v>
      </c>
      <c r="K47" s="5" t="n">
        <v>1</v>
      </c>
      <c r="L47" s="5"/>
      <c r="M47" s="3" t="s">
        <v>54</v>
      </c>
      <c r="N47" s="5" t="s">
        <v>20</v>
      </c>
    </row>
    <row r="48" customFormat="false" ht="28.35" hidden="false" customHeight="false" outlineLevel="0" collapsed="false">
      <c r="A48" s="2" t="n">
        <v>47</v>
      </c>
      <c r="B48" s="2" t="s">
        <v>122</v>
      </c>
      <c r="C48" s="2" t="n">
        <v>2046</v>
      </c>
      <c r="D48" s="2" t="s">
        <v>91</v>
      </c>
      <c r="E48" s="2" t="s">
        <v>92</v>
      </c>
      <c r="F48" s="3" t="s">
        <v>62</v>
      </c>
      <c r="G48" s="3" t="s">
        <v>123</v>
      </c>
      <c r="H48" s="4" t="n">
        <v>46295.625</v>
      </c>
      <c r="I48" s="4" t="n">
        <v>46295.7083333333</v>
      </c>
      <c r="J48" s="5" t="n">
        <v>2</v>
      </c>
      <c r="K48" s="5" t="n">
        <v>2</v>
      </c>
      <c r="L48" s="5"/>
      <c r="M48" s="3"/>
      <c r="N48" s="5" t="s">
        <v>20</v>
      </c>
    </row>
    <row r="49" customFormat="false" ht="28.35" hidden="false" customHeight="false" outlineLevel="0" collapsed="false">
      <c r="A49" s="2" t="n">
        <v>48</v>
      </c>
      <c r="B49" s="2" t="s">
        <v>124</v>
      </c>
      <c r="C49" s="2" t="n">
        <v>804</v>
      </c>
      <c r="D49" s="2" t="s">
        <v>125</v>
      </c>
      <c r="E49" s="2" t="s">
        <v>126</v>
      </c>
      <c r="F49" s="3" t="s">
        <v>127</v>
      </c>
      <c r="G49" s="3" t="s">
        <v>128</v>
      </c>
      <c r="H49" s="4" t="n">
        <v>46296.3854166667</v>
      </c>
      <c r="I49" s="4" t="n">
        <v>46296.4270833333</v>
      </c>
      <c r="J49" s="5" t="n">
        <v>1</v>
      </c>
      <c r="K49" s="5" t="n">
        <v>1</v>
      </c>
      <c r="L49" s="5" t="n">
        <v>8</v>
      </c>
      <c r="M49" s="3" t="s">
        <v>19</v>
      </c>
      <c r="N49" s="5" t="s">
        <v>20</v>
      </c>
    </row>
    <row r="50" customFormat="false" ht="28.35" hidden="false" customHeight="false" outlineLevel="0" collapsed="false">
      <c r="A50" s="2" t="n">
        <v>49</v>
      </c>
      <c r="B50" s="2" t="s">
        <v>129</v>
      </c>
      <c r="C50" s="2" t="n">
        <v>793</v>
      </c>
      <c r="D50" s="2" t="s">
        <v>125</v>
      </c>
      <c r="E50" s="2" t="s">
        <v>126</v>
      </c>
      <c r="F50" s="3" t="s">
        <v>127</v>
      </c>
      <c r="G50" s="3" t="s">
        <v>130</v>
      </c>
      <c r="H50" s="4" t="n">
        <v>46296.4479166667</v>
      </c>
      <c r="I50" s="4" t="n">
        <v>46296.4895833333</v>
      </c>
      <c r="J50" s="5" t="n">
        <v>1</v>
      </c>
      <c r="K50" s="5" t="n">
        <v>1</v>
      </c>
      <c r="L50" s="5" t="n">
        <v>8</v>
      </c>
      <c r="M50" s="3" t="s">
        <v>19</v>
      </c>
      <c r="N50" s="5" t="s">
        <v>20</v>
      </c>
    </row>
    <row r="51" customFormat="false" ht="28.35" hidden="false" customHeight="false" outlineLevel="0" collapsed="false">
      <c r="A51" s="2" t="n">
        <v>50</v>
      </c>
      <c r="B51" s="2" t="s">
        <v>131</v>
      </c>
      <c r="C51" s="2" t="n">
        <v>802</v>
      </c>
      <c r="D51" s="2" t="s">
        <v>125</v>
      </c>
      <c r="E51" s="2" t="s">
        <v>126</v>
      </c>
      <c r="F51" s="3" t="s">
        <v>127</v>
      </c>
      <c r="G51" s="3" t="s">
        <v>132</v>
      </c>
      <c r="H51" s="4" t="n">
        <v>46296.4895833333</v>
      </c>
      <c r="I51" s="4" t="n">
        <v>46296.5729166667</v>
      </c>
      <c r="J51" s="5" t="n">
        <v>1</v>
      </c>
      <c r="K51" s="5" t="n">
        <v>1</v>
      </c>
      <c r="L51" s="5" t="n">
        <v>8</v>
      </c>
      <c r="M51" s="3" t="s">
        <v>19</v>
      </c>
      <c r="N51" s="5" t="s">
        <v>20</v>
      </c>
    </row>
    <row r="52" customFormat="false" ht="28.35" hidden="false" customHeight="false" outlineLevel="0" collapsed="false">
      <c r="A52" s="2" t="n">
        <v>51</v>
      </c>
      <c r="B52" s="2" t="s">
        <v>133</v>
      </c>
      <c r="C52" s="2" t="n">
        <v>803</v>
      </c>
      <c r="D52" s="2" t="s">
        <v>125</v>
      </c>
      <c r="E52" s="2" t="s">
        <v>126</v>
      </c>
      <c r="F52" s="3" t="s">
        <v>127</v>
      </c>
      <c r="G52" s="3" t="s">
        <v>134</v>
      </c>
      <c r="H52" s="4" t="n">
        <v>46296.5729166667</v>
      </c>
      <c r="I52" s="4" t="n">
        <v>46296.6145833333</v>
      </c>
      <c r="J52" s="5" t="n">
        <v>1</v>
      </c>
      <c r="K52" s="5" t="n">
        <v>1</v>
      </c>
      <c r="L52" s="5" t="n">
        <v>8</v>
      </c>
      <c r="M52" s="3" t="s">
        <v>19</v>
      </c>
      <c r="N52" s="5" t="s">
        <v>20</v>
      </c>
    </row>
    <row r="53" customFormat="false" ht="28.35" hidden="false" customHeight="false" outlineLevel="0" collapsed="false">
      <c r="A53" s="2" t="n">
        <v>52</v>
      </c>
      <c r="B53" s="2" t="s">
        <v>135</v>
      </c>
      <c r="C53" s="2" t="n">
        <v>805</v>
      </c>
      <c r="D53" s="2" t="s">
        <v>125</v>
      </c>
      <c r="E53" s="2" t="s">
        <v>126</v>
      </c>
      <c r="F53" s="3" t="s">
        <v>127</v>
      </c>
      <c r="G53" s="3" t="s">
        <v>136</v>
      </c>
      <c r="H53" s="4" t="n">
        <v>46296.6145833333</v>
      </c>
      <c r="I53" s="4" t="n">
        <v>46296.65625</v>
      </c>
      <c r="J53" s="5" t="n">
        <v>1</v>
      </c>
      <c r="K53" s="5" t="n">
        <v>1</v>
      </c>
      <c r="L53" s="5" t="n">
        <v>8</v>
      </c>
      <c r="M53" s="3" t="s">
        <v>19</v>
      </c>
      <c r="N53" s="5" t="s">
        <v>20</v>
      </c>
    </row>
    <row r="54" customFormat="false" ht="28.35" hidden="false" customHeight="false" outlineLevel="0" collapsed="false">
      <c r="A54" s="2" t="n">
        <v>53</v>
      </c>
      <c r="B54" s="2" t="s">
        <v>137</v>
      </c>
      <c r="C54" s="2" t="n">
        <v>812</v>
      </c>
      <c r="D54" s="2" t="s">
        <v>125</v>
      </c>
      <c r="E54" s="2" t="s">
        <v>126</v>
      </c>
      <c r="F54" s="3" t="s">
        <v>127</v>
      </c>
      <c r="G54" s="3" t="s">
        <v>138</v>
      </c>
      <c r="H54" s="4" t="n">
        <v>46296.65625</v>
      </c>
      <c r="I54" s="4" t="n">
        <v>46296.6979166667</v>
      </c>
      <c r="J54" s="5" t="n">
        <v>1</v>
      </c>
      <c r="K54" s="5" t="n">
        <v>1</v>
      </c>
      <c r="L54" s="5" t="n">
        <v>8</v>
      </c>
      <c r="M54" s="3" t="s">
        <v>19</v>
      </c>
      <c r="N54" s="5" t="s">
        <v>20</v>
      </c>
    </row>
    <row r="55" customFormat="false" ht="28.35" hidden="false" customHeight="false" outlineLevel="0" collapsed="false">
      <c r="A55" s="2" t="n">
        <v>54</v>
      </c>
      <c r="B55" s="2" t="s">
        <v>139</v>
      </c>
      <c r="C55" s="2" t="n">
        <v>792</v>
      </c>
      <c r="D55" s="2" t="s">
        <v>125</v>
      </c>
      <c r="E55" s="2" t="s">
        <v>126</v>
      </c>
      <c r="F55" s="3" t="s">
        <v>127</v>
      </c>
      <c r="G55" s="3" t="s">
        <v>140</v>
      </c>
      <c r="H55" s="4" t="n">
        <v>46297.34375</v>
      </c>
      <c r="I55" s="4" t="n">
        <v>46297.4270833333</v>
      </c>
      <c r="J55" s="5" t="n">
        <v>2</v>
      </c>
      <c r="K55" s="5" t="n">
        <v>2</v>
      </c>
      <c r="L55" s="5" t="n">
        <v>8</v>
      </c>
      <c r="M55" s="3" t="s">
        <v>107</v>
      </c>
      <c r="N55" s="5" t="s">
        <v>20</v>
      </c>
    </row>
    <row r="56" customFormat="false" ht="28.35" hidden="false" customHeight="false" outlineLevel="0" collapsed="false">
      <c r="A56" s="2" t="n">
        <v>55</v>
      </c>
      <c r="B56" s="2" t="s">
        <v>141</v>
      </c>
      <c r="C56" s="2" t="n">
        <v>2008</v>
      </c>
      <c r="D56" s="2" t="s">
        <v>125</v>
      </c>
      <c r="E56" s="2" t="s">
        <v>126</v>
      </c>
      <c r="F56" s="3" t="s">
        <v>127</v>
      </c>
      <c r="G56" s="3" t="s">
        <v>142</v>
      </c>
      <c r="H56" s="4" t="n">
        <v>46297.3645833333</v>
      </c>
      <c r="I56" s="4" t="n">
        <v>46297.4479166667</v>
      </c>
      <c r="J56" s="5" t="n">
        <v>2</v>
      </c>
      <c r="K56" s="5" t="n">
        <v>2</v>
      </c>
      <c r="L56" s="5"/>
      <c r="M56" s="3" t="s">
        <v>54</v>
      </c>
      <c r="N56" s="5" t="s">
        <v>20</v>
      </c>
    </row>
    <row r="57" customFormat="false" ht="28.35" hidden="false" customHeight="false" outlineLevel="0" collapsed="false">
      <c r="A57" s="2" t="n">
        <v>56</v>
      </c>
      <c r="B57" s="2" t="s">
        <v>143</v>
      </c>
      <c r="C57" s="2" t="n">
        <v>816</v>
      </c>
      <c r="D57" s="2" t="s">
        <v>125</v>
      </c>
      <c r="E57" s="2" t="s">
        <v>126</v>
      </c>
      <c r="F57" s="3" t="s">
        <v>127</v>
      </c>
      <c r="G57" s="3" t="s">
        <v>144</v>
      </c>
      <c r="H57" s="4" t="n">
        <v>46297.4270833333</v>
      </c>
      <c r="I57" s="4" t="n">
        <v>46297.46875</v>
      </c>
      <c r="J57" s="5" t="n">
        <v>1</v>
      </c>
      <c r="K57" s="5" t="n">
        <v>1</v>
      </c>
      <c r="L57" s="5" t="n">
        <v>8</v>
      </c>
      <c r="M57" s="3" t="s">
        <v>19</v>
      </c>
      <c r="N57" s="5" t="s">
        <v>20</v>
      </c>
    </row>
    <row r="58" customFormat="false" ht="28.35" hidden="false" customHeight="false" outlineLevel="0" collapsed="false">
      <c r="A58" s="2" t="n">
        <v>57</v>
      </c>
      <c r="B58" s="2" t="s">
        <v>145</v>
      </c>
      <c r="C58" s="2" t="n">
        <v>817</v>
      </c>
      <c r="D58" s="2" t="s">
        <v>125</v>
      </c>
      <c r="E58" s="2" t="s">
        <v>126</v>
      </c>
      <c r="F58" s="3" t="s">
        <v>127</v>
      </c>
      <c r="G58" s="3" t="s">
        <v>146</v>
      </c>
      <c r="H58" s="4" t="n">
        <v>46297.46875</v>
      </c>
      <c r="I58" s="4" t="n">
        <v>46297.5520833333</v>
      </c>
      <c r="J58" s="5" t="n">
        <v>1</v>
      </c>
      <c r="K58" s="5" t="n">
        <v>1</v>
      </c>
      <c r="L58" s="5" t="n">
        <v>8</v>
      </c>
      <c r="M58" s="3" t="s">
        <v>19</v>
      </c>
      <c r="N58" s="5" t="s">
        <v>20</v>
      </c>
    </row>
    <row r="59" customFormat="false" ht="28.35" hidden="false" customHeight="false" outlineLevel="0" collapsed="false">
      <c r="A59" s="2" t="n">
        <v>58</v>
      </c>
      <c r="B59" s="2" t="s">
        <v>147</v>
      </c>
      <c r="C59" s="2" t="n">
        <v>819</v>
      </c>
      <c r="D59" s="2" t="s">
        <v>125</v>
      </c>
      <c r="E59" s="2" t="s">
        <v>126</v>
      </c>
      <c r="F59" s="3" t="s">
        <v>127</v>
      </c>
      <c r="G59" s="3" t="s">
        <v>134</v>
      </c>
      <c r="H59" s="4" t="n">
        <v>46297.5520833333</v>
      </c>
      <c r="I59" s="4" t="n">
        <v>46297.59375</v>
      </c>
      <c r="J59" s="5" t="n">
        <v>1</v>
      </c>
      <c r="K59" s="5" t="n">
        <v>1</v>
      </c>
      <c r="L59" s="5" t="n">
        <v>8</v>
      </c>
      <c r="M59" s="3" t="s">
        <v>19</v>
      </c>
      <c r="N59" s="5" t="s">
        <v>20</v>
      </c>
    </row>
    <row r="60" customFormat="false" ht="28.35" hidden="false" customHeight="false" outlineLevel="0" collapsed="false">
      <c r="A60" s="2" t="n">
        <v>59</v>
      </c>
      <c r="B60" s="2" t="s">
        <v>148</v>
      </c>
      <c r="C60" s="2" t="n">
        <v>2069</v>
      </c>
      <c r="D60" s="2" t="s">
        <v>125</v>
      </c>
      <c r="E60" s="2" t="s">
        <v>126</v>
      </c>
      <c r="F60" s="3" t="s">
        <v>52</v>
      </c>
      <c r="G60" s="3" t="s">
        <v>149</v>
      </c>
      <c r="H60" s="4" t="n">
        <v>46300.5520833333</v>
      </c>
      <c r="I60" s="4" t="n">
        <v>46300.6354166667</v>
      </c>
      <c r="J60" s="5" t="n">
        <v>2</v>
      </c>
      <c r="K60" s="5" t="n">
        <v>2</v>
      </c>
      <c r="L60" s="5"/>
      <c r="M60" s="3" t="s">
        <v>54</v>
      </c>
      <c r="N60" s="5" t="s">
        <v>20</v>
      </c>
    </row>
    <row r="61" customFormat="false" ht="28.35" hidden="false" customHeight="false" outlineLevel="0" collapsed="false">
      <c r="A61" s="2" t="n">
        <v>60</v>
      </c>
      <c r="B61" s="2" t="s">
        <v>150</v>
      </c>
      <c r="C61" s="2" t="n">
        <v>2070</v>
      </c>
      <c r="D61" s="2" t="s">
        <v>125</v>
      </c>
      <c r="E61" s="2" t="s">
        <v>126</v>
      </c>
      <c r="F61" s="3" t="s">
        <v>52</v>
      </c>
      <c r="G61" s="3" t="s">
        <v>151</v>
      </c>
      <c r="H61" s="4" t="n">
        <v>46301.34375</v>
      </c>
      <c r="I61" s="4" t="n">
        <v>46301.4270833333</v>
      </c>
      <c r="J61" s="5" t="n">
        <v>2</v>
      </c>
      <c r="K61" s="5" t="n">
        <v>2</v>
      </c>
      <c r="L61" s="5"/>
      <c r="M61" s="3" t="s">
        <v>54</v>
      </c>
      <c r="N61" s="5" t="s">
        <v>20</v>
      </c>
    </row>
    <row r="62" customFormat="false" ht="28.35" hidden="false" customHeight="false" outlineLevel="0" collapsed="false">
      <c r="A62" s="2" t="n">
        <v>61</v>
      </c>
      <c r="B62" s="2" t="s">
        <v>152</v>
      </c>
      <c r="C62" s="2" t="n">
        <v>2072</v>
      </c>
      <c r="D62" s="2" t="s">
        <v>125</v>
      </c>
      <c r="E62" s="2" t="s">
        <v>126</v>
      </c>
      <c r="F62" s="3" t="s">
        <v>52</v>
      </c>
      <c r="G62" s="3" t="s">
        <v>153</v>
      </c>
      <c r="H62" s="4" t="n">
        <v>46301.4270833333</v>
      </c>
      <c r="I62" s="4" t="n">
        <v>46301.46875</v>
      </c>
      <c r="J62" s="5" t="n">
        <v>1</v>
      </c>
      <c r="K62" s="5" t="n">
        <v>1</v>
      </c>
      <c r="L62" s="5"/>
      <c r="M62" s="3" t="s">
        <v>54</v>
      </c>
      <c r="N62" s="5" t="s">
        <v>20</v>
      </c>
    </row>
    <row r="63" customFormat="false" ht="28.35" hidden="false" customHeight="false" outlineLevel="0" collapsed="false">
      <c r="A63" s="2" t="n">
        <v>62</v>
      </c>
      <c r="B63" s="2" t="s">
        <v>154</v>
      </c>
      <c r="C63" s="2" t="n">
        <v>2074</v>
      </c>
      <c r="D63" s="2" t="s">
        <v>125</v>
      </c>
      <c r="E63" s="2" t="s">
        <v>126</v>
      </c>
      <c r="F63" s="3" t="s">
        <v>52</v>
      </c>
      <c r="G63" s="3" t="s">
        <v>155</v>
      </c>
      <c r="H63" s="4" t="n">
        <v>46301.46875</v>
      </c>
      <c r="I63" s="4" t="n">
        <v>46301.5520833333</v>
      </c>
      <c r="J63" s="5" t="n">
        <v>1</v>
      </c>
      <c r="K63" s="5" t="n">
        <v>1</v>
      </c>
      <c r="L63" s="5"/>
      <c r="M63" s="3" t="s">
        <v>54</v>
      </c>
      <c r="N63" s="5" t="s">
        <v>20</v>
      </c>
    </row>
    <row r="64" customFormat="false" ht="28.35" hidden="false" customHeight="false" outlineLevel="0" collapsed="false">
      <c r="A64" s="2" t="n">
        <v>63</v>
      </c>
      <c r="B64" s="2" t="s">
        <v>156</v>
      </c>
      <c r="C64" s="2" t="n">
        <v>2061</v>
      </c>
      <c r="D64" s="2" t="s">
        <v>125</v>
      </c>
      <c r="E64" s="2" t="s">
        <v>126</v>
      </c>
      <c r="F64" s="3" t="s">
        <v>62</v>
      </c>
      <c r="G64" s="3" t="s">
        <v>157</v>
      </c>
      <c r="H64" s="4" t="n">
        <v>46302.625</v>
      </c>
      <c r="I64" s="4" t="n">
        <v>46302.7083333333</v>
      </c>
      <c r="J64" s="5" t="n">
        <v>2</v>
      </c>
      <c r="K64" s="5" t="n">
        <v>2</v>
      </c>
      <c r="L64" s="5"/>
      <c r="M64" s="3"/>
      <c r="N64" s="5" t="s">
        <v>20</v>
      </c>
    </row>
    <row r="65" customFormat="false" ht="28.35" hidden="false" customHeight="false" outlineLevel="0" collapsed="false">
      <c r="A65" s="2" t="n">
        <v>64</v>
      </c>
      <c r="B65" s="2" t="s">
        <v>158</v>
      </c>
      <c r="C65" s="2" t="n">
        <v>796</v>
      </c>
      <c r="D65" s="2" t="s">
        <v>159</v>
      </c>
      <c r="E65" s="2" t="s">
        <v>160</v>
      </c>
      <c r="F65" s="3" t="s">
        <v>161</v>
      </c>
      <c r="G65" s="3" t="s">
        <v>162</v>
      </c>
      <c r="H65" s="4" t="n">
        <v>46303.4166666667</v>
      </c>
      <c r="I65" s="4" t="n">
        <v>46303.4583333333</v>
      </c>
      <c r="J65" s="5" t="n">
        <v>1</v>
      </c>
      <c r="K65" s="5" t="n">
        <v>1</v>
      </c>
      <c r="L65" s="5" t="n">
        <v>8</v>
      </c>
      <c r="M65" s="3" t="s">
        <v>19</v>
      </c>
      <c r="N65" s="5" t="s">
        <v>20</v>
      </c>
    </row>
    <row r="66" customFormat="false" ht="28.35" hidden="false" customHeight="false" outlineLevel="0" collapsed="false">
      <c r="A66" s="2" t="n">
        <v>65</v>
      </c>
      <c r="B66" s="2" t="s">
        <v>163</v>
      </c>
      <c r="C66" s="2" t="n">
        <v>797</v>
      </c>
      <c r="D66" s="2" t="s">
        <v>159</v>
      </c>
      <c r="E66" s="2" t="s">
        <v>160</v>
      </c>
      <c r="F66" s="3" t="s">
        <v>161</v>
      </c>
      <c r="G66" s="3" t="s">
        <v>164</v>
      </c>
      <c r="H66" s="4" t="n">
        <v>46303.4583333333</v>
      </c>
      <c r="I66" s="4" t="n">
        <v>46303.5</v>
      </c>
      <c r="J66" s="5" t="n">
        <v>1</v>
      </c>
      <c r="K66" s="5" t="n">
        <v>1</v>
      </c>
      <c r="L66" s="5" t="n">
        <v>8</v>
      </c>
      <c r="M66" s="3" t="s">
        <v>19</v>
      </c>
      <c r="N66" s="5" t="s">
        <v>20</v>
      </c>
    </row>
    <row r="67" customFormat="false" ht="28.35" hidden="false" customHeight="false" outlineLevel="0" collapsed="false">
      <c r="A67" s="2" t="n">
        <v>66</v>
      </c>
      <c r="B67" s="2" t="s">
        <v>165</v>
      </c>
      <c r="C67" s="2" t="n">
        <v>806</v>
      </c>
      <c r="D67" s="2" t="s">
        <v>159</v>
      </c>
      <c r="E67" s="2" t="s">
        <v>160</v>
      </c>
      <c r="F67" s="3" t="s">
        <v>161</v>
      </c>
      <c r="G67" s="3" t="s">
        <v>166</v>
      </c>
      <c r="H67" s="4" t="n">
        <v>46303.5416666667</v>
      </c>
      <c r="I67" s="4" t="n">
        <v>46303.625</v>
      </c>
      <c r="J67" s="5" t="n">
        <v>2</v>
      </c>
      <c r="K67" s="5" t="n">
        <v>2</v>
      </c>
      <c r="L67" s="5" t="n">
        <v>8</v>
      </c>
      <c r="M67" s="3" t="s">
        <v>107</v>
      </c>
      <c r="N67" s="5" t="s">
        <v>20</v>
      </c>
    </row>
    <row r="68" customFormat="false" ht="28.35" hidden="false" customHeight="false" outlineLevel="0" collapsed="false">
      <c r="A68" s="2" t="n">
        <v>67</v>
      </c>
      <c r="B68" s="2" t="s">
        <v>167</v>
      </c>
      <c r="C68" s="2" t="n">
        <v>807</v>
      </c>
      <c r="D68" s="2" t="s">
        <v>159</v>
      </c>
      <c r="E68" s="2" t="s">
        <v>160</v>
      </c>
      <c r="F68" s="3" t="s">
        <v>161</v>
      </c>
      <c r="G68" s="3" t="s">
        <v>168</v>
      </c>
      <c r="H68" s="4" t="n">
        <v>46303.625</v>
      </c>
      <c r="I68" s="4" t="n">
        <v>46303.7083333333</v>
      </c>
      <c r="J68" s="5" t="n">
        <v>2</v>
      </c>
      <c r="K68" s="5" t="n">
        <v>2</v>
      </c>
      <c r="L68" s="5" t="n">
        <v>8</v>
      </c>
      <c r="M68" s="3" t="s">
        <v>107</v>
      </c>
      <c r="N68" s="5" t="s">
        <v>20</v>
      </c>
    </row>
    <row r="69" customFormat="false" ht="28.35" hidden="false" customHeight="false" outlineLevel="0" collapsed="false">
      <c r="A69" s="2" t="n">
        <v>68</v>
      </c>
      <c r="B69" s="2" t="s">
        <v>169</v>
      </c>
      <c r="C69" s="2" t="n">
        <v>808</v>
      </c>
      <c r="D69" s="2" t="s">
        <v>159</v>
      </c>
      <c r="E69" s="2" t="s">
        <v>160</v>
      </c>
      <c r="F69" s="3" t="s">
        <v>161</v>
      </c>
      <c r="G69" s="3" t="s">
        <v>170</v>
      </c>
      <c r="H69" s="4" t="n">
        <v>46304.34375</v>
      </c>
      <c r="I69" s="4" t="n">
        <v>46304.3854166667</v>
      </c>
      <c r="J69" s="5" t="n">
        <v>1</v>
      </c>
      <c r="K69" s="5" t="n">
        <v>1</v>
      </c>
      <c r="L69" s="5" t="n">
        <v>8</v>
      </c>
      <c r="M69" s="3" t="s">
        <v>19</v>
      </c>
      <c r="N69" s="5" t="s">
        <v>20</v>
      </c>
    </row>
    <row r="70" customFormat="false" ht="28.35" hidden="false" customHeight="false" outlineLevel="0" collapsed="false">
      <c r="A70" s="2" t="n">
        <v>69</v>
      </c>
      <c r="B70" s="2" t="s">
        <v>171</v>
      </c>
      <c r="C70" s="2" t="n">
        <v>795</v>
      </c>
      <c r="D70" s="2" t="s">
        <v>159</v>
      </c>
      <c r="E70" s="2" t="s">
        <v>160</v>
      </c>
      <c r="F70" s="3" t="s">
        <v>161</v>
      </c>
      <c r="G70" s="3" t="s">
        <v>172</v>
      </c>
      <c r="H70" s="4" t="n">
        <v>46304.40625</v>
      </c>
      <c r="I70" s="4" t="n">
        <v>46304.4479166667</v>
      </c>
      <c r="J70" s="5" t="n">
        <v>1</v>
      </c>
      <c r="K70" s="5" t="n">
        <v>1</v>
      </c>
      <c r="L70" s="5" t="n">
        <v>8</v>
      </c>
      <c r="M70" s="3" t="s">
        <v>19</v>
      </c>
      <c r="N70" s="5" t="s">
        <v>20</v>
      </c>
    </row>
    <row r="71" customFormat="false" ht="28.35" hidden="false" customHeight="false" outlineLevel="0" collapsed="false">
      <c r="A71" s="2" t="n">
        <v>70</v>
      </c>
      <c r="B71" s="2" t="s">
        <v>173</v>
      </c>
      <c r="C71" s="2" t="n">
        <v>2009</v>
      </c>
      <c r="D71" s="2" t="s">
        <v>159</v>
      </c>
      <c r="E71" s="2" t="s">
        <v>160</v>
      </c>
      <c r="F71" s="3" t="s">
        <v>161</v>
      </c>
      <c r="G71" s="3" t="s">
        <v>174</v>
      </c>
      <c r="H71" s="4" t="n">
        <v>46304.4270833333</v>
      </c>
      <c r="I71" s="4" t="n">
        <v>46304.59375</v>
      </c>
      <c r="J71" s="5" t="n">
        <v>3</v>
      </c>
      <c r="K71" s="5" t="n">
        <v>3</v>
      </c>
      <c r="L71" s="5"/>
      <c r="M71" s="3" t="s">
        <v>54</v>
      </c>
      <c r="N71" s="5" t="s">
        <v>20</v>
      </c>
    </row>
    <row r="72" customFormat="false" ht="28.35" hidden="false" customHeight="false" outlineLevel="0" collapsed="false">
      <c r="A72" s="2" t="n">
        <v>71</v>
      </c>
      <c r="B72" s="2" t="s">
        <v>175</v>
      </c>
      <c r="C72" s="2" t="n">
        <v>809</v>
      </c>
      <c r="D72" s="2" t="s">
        <v>159</v>
      </c>
      <c r="E72" s="2" t="s">
        <v>160</v>
      </c>
      <c r="F72" s="3" t="s">
        <v>161</v>
      </c>
      <c r="G72" s="3" t="s">
        <v>176</v>
      </c>
      <c r="H72" s="4" t="n">
        <v>46304.4479166667</v>
      </c>
      <c r="I72" s="4" t="n">
        <v>46304.5729166667</v>
      </c>
      <c r="J72" s="5" t="n">
        <v>2</v>
      </c>
      <c r="K72" s="5" t="n">
        <v>2</v>
      </c>
      <c r="L72" s="5" t="n">
        <v>8</v>
      </c>
      <c r="M72" s="3" t="s">
        <v>107</v>
      </c>
      <c r="N72" s="5" t="s">
        <v>20</v>
      </c>
    </row>
    <row r="73" customFormat="false" ht="28.35" hidden="false" customHeight="false" outlineLevel="0" collapsed="false">
      <c r="A73" s="2" t="n">
        <v>72</v>
      </c>
      <c r="B73" s="2" t="s">
        <v>177</v>
      </c>
      <c r="C73" s="2" t="n">
        <v>810</v>
      </c>
      <c r="D73" s="2" t="s">
        <v>159</v>
      </c>
      <c r="E73" s="2" t="s">
        <v>160</v>
      </c>
      <c r="F73" s="3" t="s">
        <v>161</v>
      </c>
      <c r="G73" s="3" t="s">
        <v>178</v>
      </c>
      <c r="H73" s="4" t="n">
        <v>46304.5729166667</v>
      </c>
      <c r="I73" s="4" t="n">
        <v>46304.6145833333</v>
      </c>
      <c r="J73" s="5" t="n">
        <v>1</v>
      </c>
      <c r="K73" s="5" t="n">
        <v>1</v>
      </c>
      <c r="L73" s="5" t="n">
        <v>16</v>
      </c>
      <c r="M73" s="3" t="s">
        <v>19</v>
      </c>
      <c r="N73" s="5" t="s">
        <v>20</v>
      </c>
    </row>
    <row r="74" customFormat="false" ht="28.35" hidden="false" customHeight="false" outlineLevel="0" collapsed="false">
      <c r="A74" s="2" t="n">
        <v>73</v>
      </c>
      <c r="B74" s="2" t="s">
        <v>179</v>
      </c>
      <c r="C74" s="2" t="n">
        <v>811</v>
      </c>
      <c r="D74" s="2" t="s">
        <v>159</v>
      </c>
      <c r="E74" s="2" t="s">
        <v>160</v>
      </c>
      <c r="F74" s="3" t="s">
        <v>161</v>
      </c>
      <c r="G74" s="3" t="s">
        <v>180</v>
      </c>
      <c r="H74" s="4" t="n">
        <v>46304.6145833333</v>
      </c>
      <c r="I74" s="4" t="n">
        <v>46304.65625</v>
      </c>
      <c r="J74" s="5" t="n">
        <v>1</v>
      </c>
      <c r="K74" s="5" t="n">
        <v>1</v>
      </c>
      <c r="L74" s="5" t="n">
        <v>8</v>
      </c>
      <c r="M74" s="3" t="s">
        <v>19</v>
      </c>
      <c r="N74" s="5" t="s">
        <v>20</v>
      </c>
    </row>
    <row r="75" customFormat="false" ht="28.35" hidden="false" customHeight="false" outlineLevel="0" collapsed="false">
      <c r="A75" s="2" t="n">
        <v>74</v>
      </c>
      <c r="B75" s="2" t="s">
        <v>181</v>
      </c>
      <c r="C75" s="2" t="n">
        <v>813</v>
      </c>
      <c r="D75" s="2" t="s">
        <v>159</v>
      </c>
      <c r="E75" s="2" t="s">
        <v>160</v>
      </c>
      <c r="F75" s="3" t="s">
        <v>161</v>
      </c>
      <c r="G75" s="3" t="s">
        <v>182</v>
      </c>
      <c r="H75" s="4" t="n">
        <v>46304.65625</v>
      </c>
      <c r="I75" s="4" t="n">
        <v>46304.6979166667</v>
      </c>
      <c r="J75" s="5" t="n">
        <v>1</v>
      </c>
      <c r="K75" s="5" t="n">
        <v>1</v>
      </c>
      <c r="L75" s="5" t="n">
        <v>8</v>
      </c>
      <c r="M75" s="3" t="s">
        <v>19</v>
      </c>
      <c r="N75" s="5" t="s">
        <v>20</v>
      </c>
    </row>
    <row r="76" customFormat="false" ht="28.35" hidden="false" customHeight="false" outlineLevel="0" collapsed="false">
      <c r="A76" s="2" t="n">
        <v>75</v>
      </c>
      <c r="B76" s="2" t="s">
        <v>183</v>
      </c>
      <c r="C76" s="2" t="n">
        <v>820</v>
      </c>
      <c r="D76" s="2" t="s">
        <v>159</v>
      </c>
      <c r="E76" s="2" t="s">
        <v>160</v>
      </c>
      <c r="F76" s="3" t="s">
        <v>161</v>
      </c>
      <c r="G76" s="3" t="s">
        <v>178</v>
      </c>
      <c r="H76" s="4" t="n">
        <v>46307.34375</v>
      </c>
      <c r="I76" s="4" t="n">
        <v>46307.4270833333</v>
      </c>
      <c r="J76" s="5" t="n">
        <v>2</v>
      </c>
      <c r="K76" s="5" t="n">
        <v>2</v>
      </c>
      <c r="L76" s="5" t="n">
        <v>16</v>
      </c>
      <c r="M76" s="3" t="s">
        <v>107</v>
      </c>
      <c r="N76" s="5" t="s">
        <v>20</v>
      </c>
    </row>
    <row r="77" customFormat="false" ht="28.35" hidden="false" customHeight="false" outlineLevel="0" collapsed="false">
      <c r="A77" s="2" t="n">
        <v>76</v>
      </c>
      <c r="B77" s="2" t="s">
        <v>184</v>
      </c>
      <c r="C77" s="2" t="n">
        <v>2085</v>
      </c>
      <c r="D77" s="2" t="s">
        <v>159</v>
      </c>
      <c r="E77" s="2" t="s">
        <v>160</v>
      </c>
      <c r="F77" s="3" t="s">
        <v>52</v>
      </c>
      <c r="G77" s="3" t="s">
        <v>185</v>
      </c>
      <c r="H77" s="4" t="n">
        <v>46308.46875</v>
      </c>
      <c r="I77" s="4" t="n">
        <v>46308.59375</v>
      </c>
      <c r="J77" s="5" t="n">
        <v>2</v>
      </c>
      <c r="K77" s="5" t="n">
        <v>2</v>
      </c>
      <c r="L77" s="5"/>
      <c r="M77" s="3" t="s">
        <v>54</v>
      </c>
      <c r="N77" s="5" t="s">
        <v>20</v>
      </c>
    </row>
    <row r="78" customFormat="false" ht="28.35" hidden="false" customHeight="false" outlineLevel="0" collapsed="false">
      <c r="A78" s="2" t="n">
        <v>77</v>
      </c>
      <c r="B78" s="2" t="s">
        <v>186</v>
      </c>
      <c r="C78" s="2" t="n">
        <v>2086</v>
      </c>
      <c r="D78" s="2" t="s">
        <v>159</v>
      </c>
      <c r="E78" s="2" t="s">
        <v>160</v>
      </c>
      <c r="F78" s="3" t="s">
        <v>52</v>
      </c>
      <c r="G78" s="3" t="s">
        <v>187</v>
      </c>
      <c r="H78" s="4" t="n">
        <v>46309.34375</v>
      </c>
      <c r="I78" s="4" t="n">
        <v>46309.4270833333</v>
      </c>
      <c r="J78" s="5" t="n">
        <v>2</v>
      </c>
      <c r="K78" s="5" t="n">
        <v>2</v>
      </c>
      <c r="L78" s="5"/>
      <c r="M78" s="3" t="s">
        <v>54</v>
      </c>
      <c r="N78" s="5" t="s">
        <v>20</v>
      </c>
    </row>
    <row r="79" customFormat="false" ht="28.35" hidden="false" customHeight="false" outlineLevel="0" collapsed="false">
      <c r="A79" s="2" t="n">
        <v>78</v>
      </c>
      <c r="B79" s="2" t="s">
        <v>188</v>
      </c>
      <c r="C79" s="2" t="n">
        <v>2088</v>
      </c>
      <c r="D79" s="2" t="s">
        <v>159</v>
      </c>
      <c r="E79" s="2" t="s">
        <v>160</v>
      </c>
      <c r="F79" s="3" t="s">
        <v>52</v>
      </c>
      <c r="G79" s="3" t="s">
        <v>189</v>
      </c>
      <c r="H79" s="4" t="n">
        <v>46309.4270833333</v>
      </c>
      <c r="I79" s="4" t="n">
        <v>46309.46875</v>
      </c>
      <c r="J79" s="5" t="n">
        <v>1</v>
      </c>
      <c r="K79" s="5" t="n">
        <v>1</v>
      </c>
      <c r="L79" s="5"/>
      <c r="M79" s="3" t="s">
        <v>54</v>
      </c>
      <c r="N79" s="5" t="s">
        <v>20</v>
      </c>
    </row>
    <row r="80" customFormat="false" ht="28.35" hidden="false" customHeight="false" outlineLevel="0" collapsed="false">
      <c r="A80" s="2" t="n">
        <v>79</v>
      </c>
      <c r="B80" s="2" t="s">
        <v>190</v>
      </c>
      <c r="C80" s="2" t="n">
        <v>2090</v>
      </c>
      <c r="D80" s="2" t="s">
        <v>159</v>
      </c>
      <c r="E80" s="2" t="s">
        <v>160</v>
      </c>
      <c r="F80" s="3" t="s">
        <v>52</v>
      </c>
      <c r="G80" s="3" t="s">
        <v>191</v>
      </c>
      <c r="H80" s="4" t="n">
        <v>46309.46875</v>
      </c>
      <c r="I80" s="4" t="n">
        <v>46309.5520833333</v>
      </c>
      <c r="J80" s="5" t="n">
        <v>1</v>
      </c>
      <c r="K80" s="5" t="n">
        <v>1</v>
      </c>
      <c r="L80" s="5"/>
      <c r="M80" s="3" t="s">
        <v>54</v>
      </c>
      <c r="N80" s="5" t="s">
        <v>20</v>
      </c>
    </row>
    <row r="81" customFormat="false" ht="28.35" hidden="false" customHeight="false" outlineLevel="0" collapsed="false">
      <c r="A81" s="2" t="n">
        <v>80</v>
      </c>
      <c r="B81" s="2" t="s">
        <v>192</v>
      </c>
      <c r="C81" s="2" t="n">
        <v>2077</v>
      </c>
      <c r="D81" s="2" t="s">
        <v>159</v>
      </c>
      <c r="E81" s="2" t="s">
        <v>160</v>
      </c>
      <c r="F81" s="3" t="s">
        <v>62</v>
      </c>
      <c r="G81" s="3" t="s">
        <v>193</v>
      </c>
      <c r="H81" s="4" t="n">
        <v>46309.625</v>
      </c>
      <c r="I81" s="4" t="n">
        <v>46309.7083333333</v>
      </c>
      <c r="J81" s="5" t="n">
        <v>2</v>
      </c>
      <c r="K81" s="5" t="n">
        <v>2</v>
      </c>
      <c r="L81" s="5"/>
      <c r="M81" s="3"/>
      <c r="N81" s="5" t="s">
        <v>20</v>
      </c>
    </row>
    <row r="82" customFormat="false" ht="28.35" hidden="false" customHeight="false" outlineLevel="0" collapsed="false">
      <c r="A82" s="2" t="n">
        <v>81</v>
      </c>
      <c r="B82" s="2" t="s">
        <v>194</v>
      </c>
      <c r="C82" s="2" t="n">
        <v>780</v>
      </c>
      <c r="D82" s="2" t="s">
        <v>195</v>
      </c>
      <c r="E82" s="2" t="s">
        <v>196</v>
      </c>
      <c r="F82" s="3" t="s">
        <v>197</v>
      </c>
      <c r="G82" s="3" t="s">
        <v>198</v>
      </c>
      <c r="H82" s="4" t="n">
        <v>46310.3854166667</v>
      </c>
      <c r="I82" s="4" t="n">
        <v>46310.4270833333</v>
      </c>
      <c r="J82" s="5" t="n">
        <v>1</v>
      </c>
      <c r="K82" s="5" t="n">
        <v>1</v>
      </c>
      <c r="L82" s="5" t="n">
        <v>16</v>
      </c>
      <c r="M82" s="3" t="s">
        <v>19</v>
      </c>
      <c r="N82" s="5" t="s">
        <v>20</v>
      </c>
    </row>
    <row r="83" customFormat="false" ht="28.35" hidden="false" customHeight="false" outlineLevel="0" collapsed="false">
      <c r="A83" s="2" t="n">
        <v>82</v>
      </c>
      <c r="B83" s="2" t="s">
        <v>199</v>
      </c>
      <c r="C83" s="2" t="n">
        <v>798</v>
      </c>
      <c r="D83" s="2" t="s">
        <v>195</v>
      </c>
      <c r="E83" s="2" t="s">
        <v>196</v>
      </c>
      <c r="F83" s="3" t="s">
        <v>197</v>
      </c>
      <c r="G83" s="3" t="s">
        <v>200</v>
      </c>
      <c r="H83" s="4" t="n">
        <v>46310.4479166667</v>
      </c>
      <c r="I83" s="4" t="n">
        <v>46310.4895833333</v>
      </c>
      <c r="J83" s="5" t="n">
        <v>1</v>
      </c>
      <c r="K83" s="5" t="n">
        <v>1</v>
      </c>
      <c r="L83" s="5" t="n">
        <v>8</v>
      </c>
      <c r="M83" s="3" t="s">
        <v>19</v>
      </c>
      <c r="N83" s="5" t="s">
        <v>20</v>
      </c>
    </row>
    <row r="84" customFormat="false" ht="28.35" hidden="false" customHeight="false" outlineLevel="0" collapsed="false">
      <c r="A84" s="2" t="n">
        <v>83</v>
      </c>
      <c r="B84" s="2" t="s">
        <v>201</v>
      </c>
      <c r="C84" s="2" t="n">
        <v>799</v>
      </c>
      <c r="D84" s="2" t="s">
        <v>195</v>
      </c>
      <c r="E84" s="2" t="s">
        <v>196</v>
      </c>
      <c r="F84" s="3" t="s">
        <v>197</v>
      </c>
      <c r="G84" s="3" t="s">
        <v>202</v>
      </c>
      <c r="H84" s="4" t="n">
        <v>46310.4895833333</v>
      </c>
      <c r="I84" s="4" t="n">
        <v>46310.5729166667</v>
      </c>
      <c r="J84" s="5" t="n">
        <v>1</v>
      </c>
      <c r="K84" s="5" t="n">
        <v>1</v>
      </c>
      <c r="L84" s="5" t="n">
        <v>8</v>
      </c>
      <c r="M84" s="3" t="s">
        <v>19</v>
      </c>
      <c r="N84" s="5" t="s">
        <v>20</v>
      </c>
    </row>
    <row r="85" customFormat="false" ht="28.35" hidden="false" customHeight="false" outlineLevel="0" collapsed="false">
      <c r="A85" s="2" t="n">
        <v>84</v>
      </c>
      <c r="B85" s="2" t="s">
        <v>203</v>
      </c>
      <c r="C85" s="2" t="n">
        <v>818</v>
      </c>
      <c r="D85" s="2" t="s">
        <v>195</v>
      </c>
      <c r="E85" s="2" t="s">
        <v>196</v>
      </c>
      <c r="F85" s="3" t="s">
        <v>197</v>
      </c>
      <c r="G85" s="3" t="s">
        <v>204</v>
      </c>
      <c r="H85" s="4" t="n">
        <v>46310.5729166667</v>
      </c>
      <c r="I85" s="4" t="n">
        <v>46310.6145833333</v>
      </c>
      <c r="J85" s="5" t="n">
        <v>1</v>
      </c>
      <c r="K85" s="5" t="n">
        <v>1</v>
      </c>
      <c r="L85" s="5" t="n">
        <v>8</v>
      </c>
      <c r="M85" s="3" t="s">
        <v>19</v>
      </c>
      <c r="N85" s="5" t="s">
        <v>20</v>
      </c>
    </row>
    <row r="86" customFormat="false" ht="28.35" hidden="false" customHeight="false" outlineLevel="0" collapsed="false">
      <c r="A86" s="2" t="n">
        <v>85</v>
      </c>
      <c r="B86" s="2" t="s">
        <v>205</v>
      </c>
      <c r="C86" s="2" t="n">
        <v>794</v>
      </c>
      <c r="D86" s="2" t="s">
        <v>195</v>
      </c>
      <c r="E86" s="2" t="s">
        <v>196</v>
      </c>
      <c r="F86" s="3" t="s">
        <v>197</v>
      </c>
      <c r="G86" s="3" t="s">
        <v>206</v>
      </c>
      <c r="H86" s="4" t="n">
        <v>46310.6145833333</v>
      </c>
      <c r="I86" s="4" t="n">
        <v>46310.65625</v>
      </c>
      <c r="J86" s="5" t="n">
        <v>1</v>
      </c>
      <c r="K86" s="5" t="n">
        <v>1</v>
      </c>
      <c r="L86" s="5" t="n">
        <v>8</v>
      </c>
      <c r="M86" s="3" t="s">
        <v>19</v>
      </c>
      <c r="N86" s="5" t="s">
        <v>20</v>
      </c>
    </row>
    <row r="87" customFormat="false" ht="28.35" hidden="false" customHeight="false" outlineLevel="0" collapsed="false">
      <c r="A87" s="2" t="n">
        <v>86</v>
      </c>
      <c r="B87" s="2" t="s">
        <v>207</v>
      </c>
      <c r="C87" s="2" t="n">
        <v>2010</v>
      </c>
      <c r="D87" s="2" t="s">
        <v>195</v>
      </c>
      <c r="E87" s="2" t="s">
        <v>196</v>
      </c>
      <c r="F87" s="3" t="s">
        <v>197</v>
      </c>
      <c r="G87" s="3" t="s">
        <v>208</v>
      </c>
      <c r="H87" s="4" t="n">
        <v>46310.6145833333</v>
      </c>
      <c r="I87" s="4" t="n">
        <v>46310.6979166667</v>
      </c>
      <c r="J87" s="5" t="n">
        <v>2</v>
      </c>
      <c r="K87" s="5" t="n">
        <v>2</v>
      </c>
      <c r="L87" s="5"/>
      <c r="M87" s="3" t="s">
        <v>54</v>
      </c>
      <c r="N87" s="5" t="s">
        <v>20</v>
      </c>
    </row>
    <row r="88" customFormat="false" ht="28.35" hidden="false" customHeight="false" outlineLevel="0" collapsed="false">
      <c r="A88" s="2" t="n">
        <v>87</v>
      </c>
      <c r="B88" s="2" t="s">
        <v>209</v>
      </c>
      <c r="C88" s="2" t="n">
        <v>821</v>
      </c>
      <c r="D88" s="2" t="s">
        <v>195</v>
      </c>
      <c r="E88" s="2" t="s">
        <v>196</v>
      </c>
      <c r="F88" s="3" t="s">
        <v>197</v>
      </c>
      <c r="G88" s="3" t="s">
        <v>210</v>
      </c>
      <c r="H88" s="4" t="n">
        <v>46310.65625</v>
      </c>
      <c r="I88" s="4" t="n">
        <v>46310.6979166667</v>
      </c>
      <c r="J88" s="5" t="n">
        <v>1</v>
      </c>
      <c r="K88" s="5" t="n">
        <v>1</v>
      </c>
      <c r="L88" s="5" t="n">
        <v>8</v>
      </c>
      <c r="M88" s="3" t="s">
        <v>19</v>
      </c>
      <c r="N88" s="5" t="s">
        <v>20</v>
      </c>
    </row>
    <row r="89" customFormat="false" ht="28.35" hidden="false" customHeight="false" outlineLevel="0" collapsed="false">
      <c r="A89" s="2" t="n">
        <v>88</v>
      </c>
      <c r="B89" s="2" t="s">
        <v>211</v>
      </c>
      <c r="C89" s="2" t="n">
        <v>2101</v>
      </c>
      <c r="D89" s="2" t="s">
        <v>195</v>
      </c>
      <c r="E89" s="2" t="s">
        <v>196</v>
      </c>
      <c r="F89" s="3" t="s">
        <v>52</v>
      </c>
      <c r="G89" s="3" t="s">
        <v>212</v>
      </c>
      <c r="H89" s="4" t="n">
        <v>46315.34375</v>
      </c>
      <c r="I89" s="4" t="n">
        <v>46315.4270833333</v>
      </c>
      <c r="J89" s="5" t="n">
        <v>2</v>
      </c>
      <c r="K89" s="5" t="n">
        <v>2</v>
      </c>
      <c r="L89" s="5"/>
      <c r="M89" s="3" t="s">
        <v>54</v>
      </c>
      <c r="N89" s="5" t="s">
        <v>20</v>
      </c>
    </row>
    <row r="90" customFormat="false" ht="28.35" hidden="false" customHeight="false" outlineLevel="0" collapsed="false">
      <c r="A90" s="2" t="n">
        <v>89</v>
      </c>
      <c r="B90" s="2" t="s">
        <v>213</v>
      </c>
      <c r="C90" s="2" t="n">
        <v>2102</v>
      </c>
      <c r="D90" s="2" t="s">
        <v>195</v>
      </c>
      <c r="E90" s="2" t="s">
        <v>196</v>
      </c>
      <c r="F90" s="3" t="s">
        <v>52</v>
      </c>
      <c r="G90" s="3" t="s">
        <v>214</v>
      </c>
      <c r="H90" s="4" t="n">
        <v>46315.4270833333</v>
      </c>
      <c r="I90" s="4" t="n">
        <v>46315.5520833333</v>
      </c>
      <c r="J90" s="5" t="n">
        <v>2</v>
      </c>
      <c r="K90" s="5" t="n">
        <v>2</v>
      </c>
      <c r="L90" s="5"/>
      <c r="M90" s="3" t="s">
        <v>54</v>
      </c>
      <c r="N90" s="5" t="s">
        <v>20</v>
      </c>
    </row>
    <row r="91" customFormat="false" ht="28.35" hidden="false" customHeight="false" outlineLevel="0" collapsed="false">
      <c r="A91" s="2" t="n">
        <v>90</v>
      </c>
      <c r="B91" s="2" t="s">
        <v>215</v>
      </c>
      <c r="C91" s="2" t="n">
        <v>2104</v>
      </c>
      <c r="D91" s="2" t="s">
        <v>195</v>
      </c>
      <c r="E91" s="2" t="s">
        <v>196</v>
      </c>
      <c r="F91" s="3" t="s">
        <v>52</v>
      </c>
      <c r="G91" s="3" t="s">
        <v>216</v>
      </c>
      <c r="H91" s="4" t="n">
        <v>46315.5520833333</v>
      </c>
      <c r="I91" s="4" t="n">
        <v>46315.59375</v>
      </c>
      <c r="J91" s="5" t="n">
        <v>1</v>
      </c>
      <c r="K91" s="5" t="n">
        <v>1</v>
      </c>
      <c r="L91" s="5"/>
      <c r="M91" s="3" t="s">
        <v>54</v>
      </c>
      <c r="N91" s="5" t="s">
        <v>20</v>
      </c>
    </row>
    <row r="92" customFormat="false" ht="28.35" hidden="false" customHeight="false" outlineLevel="0" collapsed="false">
      <c r="A92" s="2" t="n">
        <v>91</v>
      </c>
      <c r="B92" s="2" t="s">
        <v>217</v>
      </c>
      <c r="C92" s="2" t="n">
        <v>2106</v>
      </c>
      <c r="D92" s="2" t="s">
        <v>195</v>
      </c>
      <c r="E92" s="2" t="s">
        <v>196</v>
      </c>
      <c r="F92" s="3" t="s">
        <v>52</v>
      </c>
      <c r="G92" s="3" t="s">
        <v>218</v>
      </c>
      <c r="H92" s="4" t="n">
        <v>46315.59375</v>
      </c>
      <c r="I92" s="4" t="n">
        <v>46315.6354166667</v>
      </c>
      <c r="J92" s="5" t="n">
        <v>1</v>
      </c>
      <c r="K92" s="5" t="n">
        <v>1</v>
      </c>
      <c r="L92" s="5"/>
      <c r="M92" s="3" t="s">
        <v>54</v>
      </c>
      <c r="N92" s="5" t="s">
        <v>20</v>
      </c>
    </row>
    <row r="93" customFormat="false" ht="28.35" hidden="false" customHeight="false" outlineLevel="0" collapsed="false">
      <c r="A93" s="2" t="n">
        <v>92</v>
      </c>
      <c r="B93" s="2" t="s">
        <v>219</v>
      </c>
      <c r="C93" s="2" t="n">
        <v>2093</v>
      </c>
      <c r="D93" s="2" t="s">
        <v>195</v>
      </c>
      <c r="E93" s="2" t="s">
        <v>196</v>
      </c>
      <c r="F93" s="3" t="s">
        <v>62</v>
      </c>
      <c r="G93" s="3" t="s">
        <v>220</v>
      </c>
      <c r="H93" s="4" t="n">
        <v>46316.625</v>
      </c>
      <c r="I93" s="4" t="n">
        <v>46316.7083333333</v>
      </c>
      <c r="J93" s="5" t="n">
        <v>2</v>
      </c>
      <c r="K93" s="5" t="n">
        <v>2</v>
      </c>
      <c r="L93" s="5"/>
      <c r="M93" s="3"/>
      <c r="N93" s="5" t="s">
        <v>20</v>
      </c>
    </row>
    <row r="94" customFormat="false" ht="28.35" hidden="false" customHeight="false" outlineLevel="0" collapsed="false">
      <c r="A94" s="2" t="n">
        <v>93</v>
      </c>
      <c r="B94" s="2" t="s">
        <v>221</v>
      </c>
      <c r="C94" s="2" t="n">
        <v>800</v>
      </c>
      <c r="D94" s="2" t="s">
        <v>222</v>
      </c>
      <c r="E94" s="2" t="s">
        <v>223</v>
      </c>
      <c r="F94" s="3" t="s">
        <v>224</v>
      </c>
      <c r="G94" s="3" t="s">
        <v>225</v>
      </c>
      <c r="H94" s="4" t="n">
        <v>46317.4166666667</v>
      </c>
      <c r="I94" s="4" t="n">
        <v>46317.4583333333</v>
      </c>
      <c r="J94" s="5" t="n">
        <v>1</v>
      </c>
      <c r="K94" s="5" t="n">
        <v>1</v>
      </c>
      <c r="L94" s="5" t="n">
        <v>16</v>
      </c>
      <c r="M94" s="3" t="s">
        <v>19</v>
      </c>
      <c r="N94" s="5" t="s">
        <v>20</v>
      </c>
    </row>
    <row r="95" customFormat="false" ht="28.35" hidden="false" customHeight="false" outlineLevel="0" collapsed="false">
      <c r="A95" s="2" t="n">
        <v>94</v>
      </c>
      <c r="B95" s="2" t="s">
        <v>226</v>
      </c>
      <c r="C95" s="2" t="n">
        <v>801</v>
      </c>
      <c r="D95" s="2" t="s">
        <v>222</v>
      </c>
      <c r="E95" s="2" t="s">
        <v>223</v>
      </c>
      <c r="F95" s="3" t="s">
        <v>224</v>
      </c>
      <c r="G95" s="3" t="s">
        <v>227</v>
      </c>
      <c r="H95" s="4" t="n">
        <v>46317.4583333333</v>
      </c>
      <c r="I95" s="4" t="n">
        <v>46317.5</v>
      </c>
      <c r="J95" s="5" t="n">
        <v>1</v>
      </c>
      <c r="K95" s="5" t="n">
        <v>1</v>
      </c>
      <c r="L95" s="5" t="n">
        <v>8</v>
      </c>
      <c r="M95" s="3" t="s">
        <v>19</v>
      </c>
      <c r="N95" s="5" t="s">
        <v>20</v>
      </c>
    </row>
    <row r="96" customFormat="false" ht="28.35" hidden="false" customHeight="false" outlineLevel="0" collapsed="false">
      <c r="A96" s="2" t="n">
        <v>95</v>
      </c>
      <c r="B96" s="2" t="s">
        <v>228</v>
      </c>
      <c r="C96" s="2" t="n">
        <v>814</v>
      </c>
      <c r="D96" s="2" t="s">
        <v>222</v>
      </c>
      <c r="E96" s="2" t="s">
        <v>223</v>
      </c>
      <c r="F96" s="3" t="s">
        <v>224</v>
      </c>
      <c r="G96" s="3" t="s">
        <v>229</v>
      </c>
      <c r="H96" s="4" t="n">
        <v>46317.5416666667</v>
      </c>
      <c r="I96" s="4" t="n">
        <v>46317.5833333333</v>
      </c>
      <c r="J96" s="5" t="n">
        <v>1</v>
      </c>
      <c r="K96" s="5" t="n">
        <v>1</v>
      </c>
      <c r="L96" s="5" t="n">
        <v>8</v>
      </c>
      <c r="M96" s="3" t="s">
        <v>19</v>
      </c>
      <c r="N96" s="5" t="s">
        <v>20</v>
      </c>
    </row>
    <row r="97" customFormat="false" ht="28.35" hidden="false" customHeight="false" outlineLevel="0" collapsed="false">
      <c r="A97" s="2" t="n">
        <v>96</v>
      </c>
      <c r="B97" s="2" t="s">
        <v>230</v>
      </c>
      <c r="C97" s="2" t="n">
        <v>815</v>
      </c>
      <c r="D97" s="2" t="s">
        <v>222</v>
      </c>
      <c r="E97" s="2" t="s">
        <v>223</v>
      </c>
      <c r="F97" s="3" t="s">
        <v>224</v>
      </c>
      <c r="G97" s="3" t="s">
        <v>231</v>
      </c>
      <c r="H97" s="4" t="n">
        <v>46317.5833333333</v>
      </c>
      <c r="I97" s="4" t="n">
        <v>46317.625</v>
      </c>
      <c r="J97" s="5" t="n">
        <v>1</v>
      </c>
      <c r="K97" s="5" t="n">
        <v>1</v>
      </c>
      <c r="L97" s="5" t="n">
        <v>8</v>
      </c>
      <c r="M97" s="3" t="s">
        <v>19</v>
      </c>
      <c r="N97" s="5" t="s">
        <v>20</v>
      </c>
    </row>
    <row r="98" customFormat="false" ht="28.35" hidden="false" customHeight="false" outlineLevel="0" collapsed="false">
      <c r="A98" s="2" t="n">
        <v>97</v>
      </c>
      <c r="B98" s="2" t="s">
        <v>232</v>
      </c>
      <c r="C98" s="2" t="n">
        <v>822</v>
      </c>
      <c r="D98" s="2" t="s">
        <v>222</v>
      </c>
      <c r="E98" s="2" t="s">
        <v>223</v>
      </c>
      <c r="F98" s="3" t="s">
        <v>224</v>
      </c>
      <c r="G98" s="3" t="s">
        <v>233</v>
      </c>
      <c r="H98" s="4" t="n">
        <v>46317.625</v>
      </c>
      <c r="I98" s="4" t="n">
        <v>46317.6666666667</v>
      </c>
      <c r="J98" s="5" t="n">
        <v>1</v>
      </c>
      <c r="K98" s="5" t="n">
        <v>1</v>
      </c>
      <c r="L98" s="5" t="n">
        <v>8</v>
      </c>
      <c r="M98" s="3" t="s">
        <v>19</v>
      </c>
      <c r="N98" s="5" t="s">
        <v>20</v>
      </c>
    </row>
    <row r="99" customFormat="false" ht="28.35" hidden="false" customHeight="false" outlineLevel="0" collapsed="false">
      <c r="A99" s="2" t="n">
        <v>98</v>
      </c>
      <c r="B99" s="2" t="s">
        <v>234</v>
      </c>
      <c r="C99" s="2" t="n">
        <v>823</v>
      </c>
      <c r="D99" s="2" t="s">
        <v>222</v>
      </c>
      <c r="E99" s="2" t="s">
        <v>223</v>
      </c>
      <c r="F99" s="3" t="s">
        <v>224</v>
      </c>
      <c r="G99" s="3" t="s">
        <v>235</v>
      </c>
      <c r="H99" s="4" t="n">
        <v>46318.34375</v>
      </c>
      <c r="I99" s="4" t="n">
        <v>46318.4270833333</v>
      </c>
      <c r="J99" s="5" t="n">
        <v>2</v>
      </c>
      <c r="K99" s="5" t="n">
        <v>2</v>
      </c>
      <c r="L99" s="5" t="n">
        <v>8</v>
      </c>
      <c r="M99" s="3" t="s">
        <v>107</v>
      </c>
      <c r="N99" s="5" t="s">
        <v>20</v>
      </c>
    </row>
    <row r="100" customFormat="false" ht="28.35" hidden="false" customHeight="false" outlineLevel="0" collapsed="false">
      <c r="A100" s="2" t="n">
        <v>99</v>
      </c>
      <c r="B100" s="2" t="s">
        <v>236</v>
      </c>
      <c r="C100" s="2" t="n">
        <v>2014</v>
      </c>
      <c r="D100" s="2" t="s">
        <v>222</v>
      </c>
      <c r="E100" s="2" t="s">
        <v>223</v>
      </c>
      <c r="F100" s="3" t="s">
        <v>224</v>
      </c>
      <c r="G100" s="3" t="s">
        <v>237</v>
      </c>
      <c r="H100" s="4" t="n">
        <v>46318.34375</v>
      </c>
      <c r="I100" s="4" t="n">
        <v>46318.4270833333</v>
      </c>
      <c r="J100" s="5" t="n">
        <v>2</v>
      </c>
      <c r="K100" s="5" t="n">
        <v>2</v>
      </c>
      <c r="L100" s="5"/>
      <c r="M100" s="3" t="s">
        <v>54</v>
      </c>
      <c r="N100" s="5" t="s">
        <v>20</v>
      </c>
    </row>
    <row r="101" customFormat="false" ht="28.35" hidden="false" customHeight="false" outlineLevel="0" collapsed="false">
      <c r="A101" s="2" t="n">
        <v>100</v>
      </c>
      <c r="B101" s="2" t="s">
        <v>238</v>
      </c>
      <c r="C101" s="2" t="n">
        <v>2117</v>
      </c>
      <c r="D101" s="2" t="s">
        <v>222</v>
      </c>
      <c r="E101" s="2" t="s">
        <v>223</v>
      </c>
      <c r="F101" s="3" t="s">
        <v>52</v>
      </c>
      <c r="G101" s="3" t="s">
        <v>239</v>
      </c>
      <c r="H101" s="4" t="n">
        <v>46322.34375</v>
      </c>
      <c r="I101" s="4" t="n">
        <v>46322.4270833333</v>
      </c>
      <c r="J101" s="5" t="n">
        <v>2</v>
      </c>
      <c r="K101" s="5" t="n">
        <v>2</v>
      </c>
      <c r="L101" s="5"/>
      <c r="M101" s="3" t="s">
        <v>54</v>
      </c>
      <c r="N101" s="5" t="s">
        <v>20</v>
      </c>
    </row>
    <row r="102" customFormat="false" ht="15" hidden="false" customHeight="false" outlineLevel="0" collapsed="false">
      <c r="A102" s="2" t="n">
        <v>101</v>
      </c>
      <c r="B102" s="2" t="s">
        <v>240</v>
      </c>
      <c r="C102" s="2" t="n">
        <v>828</v>
      </c>
      <c r="D102" s="2" t="s">
        <v>222</v>
      </c>
      <c r="E102" s="2" t="s">
        <v>223</v>
      </c>
      <c r="F102" s="3" t="s">
        <v>52</v>
      </c>
      <c r="G102" s="3" t="s">
        <v>241</v>
      </c>
      <c r="H102" s="4" t="n">
        <v>46322.4270833333</v>
      </c>
      <c r="I102" s="4" t="n">
        <v>46322.5520833333</v>
      </c>
      <c r="J102" s="5" t="n">
        <v>2</v>
      </c>
      <c r="K102" s="5" t="n">
        <v>2</v>
      </c>
      <c r="L102" s="5" t="n">
        <v>8</v>
      </c>
      <c r="M102" s="3" t="s">
        <v>242</v>
      </c>
      <c r="N102" s="5" t="s">
        <v>20</v>
      </c>
    </row>
    <row r="103" customFormat="false" ht="28.35" hidden="false" customHeight="false" outlineLevel="0" collapsed="false">
      <c r="A103" s="2" t="n">
        <v>102</v>
      </c>
      <c r="B103" s="2" t="s">
        <v>243</v>
      </c>
      <c r="C103" s="2" t="n">
        <v>826</v>
      </c>
      <c r="D103" s="2" t="s">
        <v>222</v>
      </c>
      <c r="E103" s="2" t="s">
        <v>223</v>
      </c>
      <c r="F103" s="3" t="s">
        <v>224</v>
      </c>
      <c r="G103" s="3" t="s">
        <v>244</v>
      </c>
      <c r="H103" s="4" t="n">
        <v>46322.5520833333</v>
      </c>
      <c r="I103" s="4" t="n">
        <v>46322.59375</v>
      </c>
      <c r="J103" s="5" t="n">
        <v>1</v>
      </c>
      <c r="K103" s="5" t="n">
        <v>1</v>
      </c>
      <c r="L103" s="5" t="n">
        <v>8</v>
      </c>
      <c r="M103" s="3" t="s">
        <v>19</v>
      </c>
      <c r="N103" s="5" t="s">
        <v>20</v>
      </c>
    </row>
    <row r="104" customFormat="false" ht="28.35" hidden="false" customHeight="false" outlineLevel="0" collapsed="false">
      <c r="A104" s="2" t="n">
        <v>103</v>
      </c>
      <c r="B104" s="2" t="s">
        <v>245</v>
      </c>
      <c r="C104" s="2" t="n">
        <v>2120</v>
      </c>
      <c r="D104" s="2" t="s">
        <v>222</v>
      </c>
      <c r="E104" s="2" t="s">
        <v>223</v>
      </c>
      <c r="F104" s="3" t="s">
        <v>52</v>
      </c>
      <c r="G104" s="3" t="s">
        <v>246</v>
      </c>
      <c r="H104" s="4" t="n">
        <v>46322.59375</v>
      </c>
      <c r="I104" s="4" t="n">
        <v>46322.6354166667</v>
      </c>
      <c r="J104" s="5" t="n">
        <v>1</v>
      </c>
      <c r="K104" s="5" t="n">
        <v>1</v>
      </c>
      <c r="L104" s="5"/>
      <c r="M104" s="3" t="s">
        <v>54</v>
      </c>
      <c r="N104" s="5" t="s">
        <v>20</v>
      </c>
    </row>
    <row r="105" customFormat="false" ht="15" hidden="false" customHeight="false" outlineLevel="0" collapsed="false">
      <c r="A105" s="2" t="n">
        <v>104</v>
      </c>
      <c r="B105" s="2" t="s">
        <v>247</v>
      </c>
      <c r="C105" s="2" t="n">
        <v>829</v>
      </c>
      <c r="D105" s="2" t="s">
        <v>222</v>
      </c>
      <c r="E105" s="2" t="s">
        <v>223</v>
      </c>
      <c r="F105" s="3" t="s">
        <v>52</v>
      </c>
      <c r="G105" s="3" t="s">
        <v>248</v>
      </c>
      <c r="H105" s="4" t="n">
        <v>46323.34375</v>
      </c>
      <c r="I105" s="4" t="n">
        <v>46323.4270833333</v>
      </c>
      <c r="J105" s="5" t="n">
        <v>2</v>
      </c>
      <c r="K105" s="5" t="n">
        <v>2</v>
      </c>
      <c r="L105" s="5" t="n">
        <v>8</v>
      </c>
      <c r="M105" s="3" t="s">
        <v>242</v>
      </c>
      <c r="N105" s="5" t="s">
        <v>20</v>
      </c>
    </row>
    <row r="106" customFormat="false" ht="28.35" hidden="false" customHeight="false" outlineLevel="0" collapsed="false">
      <c r="A106" s="2" t="n">
        <v>105</v>
      </c>
      <c r="B106" s="2" t="s">
        <v>249</v>
      </c>
      <c r="C106" s="2" t="n">
        <v>827</v>
      </c>
      <c r="D106" s="2" t="s">
        <v>222</v>
      </c>
      <c r="E106" s="2" t="s">
        <v>223</v>
      </c>
      <c r="F106" s="3" t="s">
        <v>52</v>
      </c>
      <c r="G106" s="3" t="s">
        <v>250</v>
      </c>
      <c r="H106" s="4" t="n">
        <v>46323.4270833333</v>
      </c>
      <c r="I106" s="4" t="n">
        <v>46323.46875</v>
      </c>
      <c r="J106" s="5" t="n">
        <v>1</v>
      </c>
      <c r="K106" s="5" t="n">
        <v>1</v>
      </c>
      <c r="L106" s="5" t="n">
        <v>8</v>
      </c>
      <c r="M106" s="3" t="s">
        <v>19</v>
      </c>
      <c r="N106" s="5" t="s">
        <v>20</v>
      </c>
    </row>
    <row r="107" customFormat="false" ht="28.35" hidden="false" customHeight="false" outlineLevel="0" collapsed="false">
      <c r="A107" s="2" t="n">
        <v>106</v>
      </c>
      <c r="B107" s="2" t="s">
        <v>251</v>
      </c>
      <c r="C107" s="2" t="n">
        <v>830</v>
      </c>
      <c r="D107" s="2" t="s">
        <v>222</v>
      </c>
      <c r="E107" s="2" t="s">
        <v>223</v>
      </c>
      <c r="F107" s="3" t="s">
        <v>224</v>
      </c>
      <c r="G107" s="3" t="s">
        <v>252</v>
      </c>
      <c r="H107" s="4" t="n">
        <v>46323.46875</v>
      </c>
      <c r="I107" s="4" t="n">
        <v>46323.5520833333</v>
      </c>
      <c r="J107" s="5" t="n">
        <v>1</v>
      </c>
      <c r="K107" s="5" t="n">
        <v>1</v>
      </c>
      <c r="L107" s="5" t="n">
        <v>8</v>
      </c>
      <c r="M107" s="3" t="s">
        <v>19</v>
      </c>
      <c r="N107" s="5" t="s">
        <v>20</v>
      </c>
    </row>
    <row r="108" customFormat="false" ht="28.35" hidden="false" customHeight="false" outlineLevel="0" collapsed="false">
      <c r="A108" s="2" t="n">
        <v>107</v>
      </c>
      <c r="B108" s="2" t="s">
        <v>253</v>
      </c>
      <c r="C108" s="2" t="n">
        <v>831</v>
      </c>
      <c r="D108" s="2" t="s">
        <v>222</v>
      </c>
      <c r="E108" s="2" t="s">
        <v>223</v>
      </c>
      <c r="F108" s="3" t="s">
        <v>224</v>
      </c>
      <c r="G108" s="3" t="s">
        <v>254</v>
      </c>
      <c r="H108" s="4" t="n">
        <v>46323.5520833333</v>
      </c>
      <c r="I108" s="4" t="n">
        <v>46323.59375</v>
      </c>
      <c r="J108" s="5" t="n">
        <v>1</v>
      </c>
      <c r="K108" s="5" t="n">
        <v>1</v>
      </c>
      <c r="L108" s="5" t="n">
        <v>8</v>
      </c>
      <c r="M108" s="3" t="s">
        <v>19</v>
      </c>
      <c r="N108" s="5" t="s">
        <v>20</v>
      </c>
    </row>
    <row r="109" customFormat="false" ht="28.35" hidden="false" customHeight="false" outlineLevel="0" collapsed="false">
      <c r="A109" s="2" t="n">
        <v>108</v>
      </c>
      <c r="B109" s="2" t="s">
        <v>255</v>
      </c>
      <c r="C109" s="2" t="n">
        <v>2109</v>
      </c>
      <c r="D109" s="2" t="s">
        <v>222</v>
      </c>
      <c r="E109" s="2" t="s">
        <v>223</v>
      </c>
      <c r="F109" s="3" t="s">
        <v>62</v>
      </c>
      <c r="G109" s="3" t="s">
        <v>256</v>
      </c>
      <c r="H109" s="4" t="n">
        <v>46323.625</v>
      </c>
      <c r="I109" s="4" t="n">
        <v>46323.7083333333</v>
      </c>
      <c r="J109" s="5" t="n">
        <v>2</v>
      </c>
      <c r="K109" s="5" t="n">
        <v>2</v>
      </c>
      <c r="L109" s="5"/>
      <c r="M109" s="3"/>
      <c r="N109" s="5" t="s">
        <v>20</v>
      </c>
    </row>
    <row r="111" customFormat="false" ht="15" hidden="false" customHeight="false" outlineLevel="0" collapsed="false">
      <c r="G111" s="6" t="s">
        <v>257</v>
      </c>
      <c r="J111" s="6" t="n">
        <f aca="false">SUM(J2:J109)</f>
        <v>142</v>
      </c>
      <c r="K111" s="6" t="n">
        <f aca="false">SUM(K2:K109)</f>
        <v>142</v>
      </c>
      <c r="L111" s="6" t="n">
        <f aca="false">SUM(L2:L109)</f>
        <v>616</v>
      </c>
    </row>
  </sheetData>
  <autoFilter ref="A1:N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4" min="3" style="0" width="10"/>
    <col collapsed="false" customWidth="true" hidden="false" outlineLevel="0" max="6" min="5" style="0" width="18"/>
  </cols>
  <sheetData>
    <row r="1" customFormat="false" ht="28.35" hidden="false" customHeight="false" outlineLevel="0" collapsed="false">
      <c r="A1" s="7" t="s">
        <v>3</v>
      </c>
      <c r="B1" s="7" t="s">
        <v>258</v>
      </c>
      <c r="C1" s="7" t="s">
        <v>259</v>
      </c>
      <c r="D1" s="7" t="s">
        <v>260</v>
      </c>
      <c r="E1" s="7" t="s">
        <v>261</v>
      </c>
      <c r="F1" s="7" t="s">
        <v>262</v>
      </c>
    </row>
    <row r="2" customFormat="false" ht="15" hidden="false" customHeight="false" outlineLevel="0" collapsed="false">
      <c r="A2" s="0" t="s">
        <v>15</v>
      </c>
      <c r="B2" s="8" t="s">
        <v>263</v>
      </c>
      <c r="C2" s="9" t="n">
        <f aca="false">COUNTIF('Task của Hưng'!D$2:D$109,A2)</f>
        <v>21</v>
      </c>
      <c r="D2" s="10" t="n">
        <f aca="false">SUMIF('Task của Hưng'!D$2:D$109,A2,'Task của Hưng'!K$2:K$109)</f>
        <v>22</v>
      </c>
      <c r="E2" s="11" t="n">
        <f aca="false">_xlfn.MINIFS('Task của Hưng'!H$2:H$109,'Task của Hưng'!D$2:D$109,A2)</f>
        <v>46275.625</v>
      </c>
      <c r="F2" s="11" t="n">
        <f aca="false">_xlfn.MAXIFS('Task của Hưng'!I$2:I$109,'Task của Hưng'!D$2:D$109,A2)</f>
        <v>46282.4479166667</v>
      </c>
    </row>
    <row r="3" customFormat="false" ht="15" hidden="false" customHeight="false" outlineLevel="0" collapsed="false">
      <c r="A3" s="0" t="s">
        <v>65</v>
      </c>
      <c r="B3" s="8" t="s">
        <v>264</v>
      </c>
      <c r="C3" s="9" t="n">
        <f aca="false">COUNTIF('Task của Hưng'!D$2:D$109,A3)</f>
        <v>11</v>
      </c>
      <c r="D3" s="10" t="n">
        <f aca="false">SUMIF('Task của Hưng'!D$2:D$109,A3,'Task của Hưng'!K$2:K$109)</f>
        <v>15</v>
      </c>
      <c r="E3" s="11" t="n">
        <f aca="false">_xlfn.MINIFS('Task của Hưng'!H$2:H$109,'Task của Hưng'!D$2:D$109,A3)</f>
        <v>46282.5416666667</v>
      </c>
      <c r="F3" s="11" t="n">
        <f aca="false">_xlfn.MAXIFS('Task của Hưng'!I$2:I$109,'Task của Hưng'!D$2:D$109,A3)</f>
        <v>46288.7083333333</v>
      </c>
    </row>
    <row r="4" customFormat="false" ht="15" hidden="false" customHeight="false" outlineLevel="0" collapsed="false">
      <c r="A4" s="0" t="s">
        <v>91</v>
      </c>
      <c r="B4" s="8" t="s">
        <v>265</v>
      </c>
      <c r="C4" s="9" t="n">
        <f aca="false">COUNTIF('Task của Hưng'!D$2:D$109,A4)</f>
        <v>15</v>
      </c>
      <c r="D4" s="10" t="n">
        <f aca="false">SUMIF('Task của Hưng'!D$2:D$109,A4,'Task của Hưng'!K$2:K$109)</f>
        <v>20</v>
      </c>
      <c r="E4" s="11" t="n">
        <f aca="false">_xlfn.MINIFS('Task của Hưng'!H$2:H$109,'Task của Hưng'!D$2:D$109,A4)</f>
        <v>46289.3854166667</v>
      </c>
      <c r="F4" s="11" t="n">
        <f aca="false">_xlfn.MAXIFS('Task của Hưng'!I$2:I$109,'Task của Hưng'!D$2:D$109,A4)</f>
        <v>46295.7083333333</v>
      </c>
    </row>
    <row r="5" customFormat="false" ht="15" hidden="false" customHeight="false" outlineLevel="0" collapsed="false">
      <c r="A5" s="0" t="s">
        <v>125</v>
      </c>
      <c r="B5" s="8" t="s">
        <v>266</v>
      </c>
      <c r="C5" s="9" t="n">
        <f aca="false">COUNTIF('Task của Hưng'!D$2:D$109,A5)</f>
        <v>16</v>
      </c>
      <c r="D5" s="10" t="n">
        <f aca="false">SUMIF('Task của Hưng'!D$2:D$109,A5,'Task của Hưng'!K$2:K$109)</f>
        <v>21</v>
      </c>
      <c r="E5" s="11" t="n">
        <f aca="false">_xlfn.MINIFS('Task của Hưng'!H$2:H$109,'Task của Hưng'!D$2:D$109,A5)</f>
        <v>46296.3854166667</v>
      </c>
      <c r="F5" s="11" t="n">
        <f aca="false">_xlfn.MAXIFS('Task của Hưng'!I$2:I$109,'Task của Hưng'!D$2:D$109,A5)</f>
        <v>46302.7083333333</v>
      </c>
    </row>
    <row r="6" customFormat="false" ht="15" hidden="false" customHeight="false" outlineLevel="0" collapsed="false">
      <c r="A6" s="0" t="s">
        <v>159</v>
      </c>
      <c r="B6" s="8" t="s">
        <v>267</v>
      </c>
      <c r="C6" s="9" t="n">
        <f aca="false">COUNTIF('Task của Hưng'!D$2:D$109,A6)</f>
        <v>17</v>
      </c>
      <c r="D6" s="10" t="n">
        <f aca="false">SUMIF('Task của Hưng'!D$2:D$109,A6,'Task của Hưng'!K$2:K$109)</f>
        <v>26</v>
      </c>
      <c r="E6" s="11" t="n">
        <f aca="false">_xlfn.MINIFS('Task của Hưng'!H$2:H$109,'Task của Hưng'!D$2:D$109,A6)</f>
        <v>46303.4166666667</v>
      </c>
      <c r="F6" s="11" t="n">
        <f aca="false">_xlfn.MAXIFS('Task của Hưng'!I$2:I$109,'Task của Hưng'!D$2:D$109,A6)</f>
        <v>46309.7083333333</v>
      </c>
    </row>
    <row r="7" customFormat="false" ht="15" hidden="false" customHeight="false" outlineLevel="0" collapsed="false">
      <c r="A7" s="0" t="s">
        <v>195</v>
      </c>
      <c r="B7" s="8" t="s">
        <v>268</v>
      </c>
      <c r="C7" s="9" t="n">
        <f aca="false">COUNTIF('Task của Hưng'!D$2:D$109,A7)</f>
        <v>12</v>
      </c>
      <c r="D7" s="10" t="n">
        <f aca="false">SUMIF('Task của Hưng'!D$2:D$109,A7,'Task của Hưng'!K$2:K$109)</f>
        <v>16</v>
      </c>
      <c r="E7" s="11" t="n">
        <f aca="false">_xlfn.MINIFS('Task của Hưng'!H$2:H$109,'Task của Hưng'!D$2:D$109,A7)</f>
        <v>46310.3854166667</v>
      </c>
      <c r="F7" s="11" t="n">
        <f aca="false">_xlfn.MAXIFS('Task của Hưng'!I$2:I$109,'Task của Hưng'!D$2:D$109,A7)</f>
        <v>46316.7083333333</v>
      </c>
    </row>
    <row r="8" customFormat="false" ht="15" hidden="false" customHeight="false" outlineLevel="0" collapsed="false">
      <c r="A8" s="0" t="s">
        <v>222</v>
      </c>
      <c r="B8" s="8" t="s">
        <v>269</v>
      </c>
      <c r="C8" s="9" t="n">
        <f aca="false">COUNTIF('Task của Hưng'!D$2:D$109,A8)</f>
        <v>16</v>
      </c>
      <c r="D8" s="10" t="n">
        <f aca="false">SUMIF('Task của Hưng'!D$2:D$109,A8,'Task của Hưng'!K$2:K$109)</f>
        <v>22</v>
      </c>
      <c r="E8" s="11" t="n">
        <f aca="false">_xlfn.MINIFS('Task của Hưng'!H$2:H$109,'Task của Hưng'!D$2:D$109,A8)</f>
        <v>46317.4166666667</v>
      </c>
      <c r="F8" s="11" t="n">
        <f aca="false">_xlfn.MAXIFS('Task của Hưng'!I$2:I$109,'Task của Hưng'!D$2:D$109,A8)</f>
        <v>46323.7083333333</v>
      </c>
    </row>
    <row r="9" customFormat="false" ht="15" hidden="false" customHeight="false" outlineLevel="0" collapsed="false">
      <c r="A9" s="6" t="s">
        <v>270</v>
      </c>
      <c r="B9" s="12"/>
      <c r="C9" s="6" t="n">
        <f aca="false">SUM(C2:C8)</f>
        <v>108</v>
      </c>
      <c r="D9" s="13" t="n">
        <f aca="false">SUM(D2:D8)</f>
        <v>142</v>
      </c>
      <c r="E9" s="14" t="n">
        <f aca="false">MIN(E2:E8)</f>
        <v>46275.625</v>
      </c>
      <c r="F9" s="14" t="n">
        <f aca="false">MAX(F2:F8)</f>
        <v>46323.7083333333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2026-10-26T10:00:26Z</dcterms:created>
  <dc:creator>openpyxl</dc:creator>
  <dc:description/>
  <dc:language>en-US</dc:language>
  <cp:lastModifiedBy/>
  <dcterms:modified xsi:type="dcterms:W3CDTF">2026-10-26T10:00:26Z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